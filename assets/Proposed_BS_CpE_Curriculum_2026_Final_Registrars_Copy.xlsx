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C:\My Documents\APC Files\CPE Files Curriculum\BS CPE New Curriculum\CpE Curriculum Final Version\"/>
    </mc:Choice>
  </mc:AlternateContent>
  <xr:revisionPtr revIDLastSave="0" documentId="13_ncr:1_{086A6B78-C774-4D82-B688-6887E629DA9B}" xr6:coauthVersionLast="47" xr6:coauthVersionMax="47" xr10:uidLastSave="{00000000-0000-0000-0000-000000000000}"/>
  <bookViews>
    <workbookView xWindow="-110" yWindow="-110" windowWidth="19420" windowHeight="10300" xr2:uid="{00000000-000D-0000-FFFF-FFFF00000000}"/>
  </bookViews>
  <sheets>
    <sheet name="BSCPE 2026 Flowchart" sheetId="12" r:id="rId1"/>
    <sheet name="Prospectus 1 Program Study" sheetId="17" r:id="rId2"/>
    <sheet name="Prospectus 2 Course Description" sheetId="16" r:id="rId3"/>
    <sheet name="Program Study" sheetId="13" r:id="rId4"/>
    <sheet name="Curriculum Mapping" sheetId="18" r:id="rId5"/>
    <sheet name="Comparative Summary-CpE (2018)" sheetId="9" r:id="rId6"/>
    <sheet name="Summary of Units" sheetId="6" r:id="rId7"/>
  </sheets>
  <definedNames>
    <definedName name="list">#REF!</definedName>
    <definedName name="_xlnm.Print_Area" localSheetId="0">'BSCPE 2026 Flowchart'!$B$1:$CW$65</definedName>
    <definedName name="_xlnm.Print_Area" localSheetId="3">'Program Study'!$A$1:$D$157</definedName>
    <definedName name="_xlnm.Print_Area" localSheetId="6">'Summary of Units'!$A$1:$H$29</definedName>
    <definedName name="solver_typ" localSheetId="5" hidden="1">2</definedName>
    <definedName name="solver_typ" localSheetId="1" hidden="1">2</definedName>
    <definedName name="solver_ver" localSheetId="5" hidden="1">17</definedName>
    <definedName name="solver_ver" localSheetId="1" hidden="1">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4" i="13" l="1"/>
  <c r="C128" i="13"/>
  <c r="C120" i="13"/>
  <c r="C109" i="13"/>
  <c r="C98" i="13"/>
  <c r="C84" i="13"/>
  <c r="C72" i="13"/>
  <c r="C60" i="13"/>
  <c r="C46" i="13"/>
  <c r="C36" i="13"/>
  <c r="C26" i="13"/>
  <c r="I101" i="17"/>
  <c r="F101" i="17"/>
  <c r="C101" i="17"/>
  <c r="I87" i="17"/>
  <c r="F87" i="17"/>
  <c r="C87" i="17"/>
  <c r="I71" i="17"/>
  <c r="F71" i="17"/>
  <c r="C71" i="17"/>
  <c r="I56" i="17"/>
  <c r="F56" i="17"/>
  <c r="C56" i="17"/>
  <c r="D62" i="12" l="1"/>
  <c r="BO62" i="12"/>
  <c r="Y62" i="12"/>
  <c r="R62" i="12"/>
  <c r="K63" i="12"/>
  <c r="K62" i="12"/>
  <c r="AF62" i="12"/>
  <c r="BH62" i="12"/>
  <c r="BH63" i="12"/>
  <c r="BA63" i="12"/>
  <c r="BA62" i="12"/>
  <c r="AT63" i="12"/>
  <c r="AT62" i="12"/>
  <c r="AM62" i="12"/>
  <c r="Y63" i="12"/>
  <c r="AF63" i="12"/>
  <c r="AM63" i="12"/>
  <c r="R63" i="12"/>
  <c r="CK39" i="12"/>
  <c r="CK41" i="12"/>
  <c r="BO63" i="12"/>
  <c r="K64" i="12" l="1"/>
  <c r="BH64" i="12"/>
  <c r="BO64" i="12"/>
  <c r="D63" i="12"/>
  <c r="C129" i="9"/>
  <c r="C122" i="9"/>
  <c r="D131" i="9"/>
  <c r="D74" i="9"/>
  <c r="L74" i="9"/>
  <c r="K74" i="9" l="1"/>
  <c r="G20" i="6" s="1"/>
  <c r="J74" i="9"/>
  <c r="F20" i="6" s="1"/>
  <c r="F29" i="6" s="1"/>
  <c r="D29" i="6" l="1"/>
  <c r="L117" i="9"/>
  <c r="K117" i="9"/>
  <c r="J117" i="9"/>
  <c r="L113" i="9"/>
  <c r="K113" i="9"/>
  <c r="J113" i="9"/>
  <c r="L104" i="9"/>
  <c r="K104" i="9"/>
  <c r="J104" i="9"/>
  <c r="L99" i="9"/>
  <c r="K99" i="9"/>
  <c r="J99" i="9"/>
  <c r="L93" i="9"/>
  <c r="K93" i="9"/>
  <c r="J93" i="9"/>
  <c r="L80" i="9"/>
  <c r="K80" i="9"/>
  <c r="J80" i="9"/>
  <c r="H29" i="6"/>
  <c r="L38" i="9"/>
  <c r="K38" i="9"/>
  <c r="J38" i="9"/>
  <c r="L33" i="9"/>
  <c r="K33" i="9"/>
  <c r="J33" i="9"/>
  <c r="L27" i="9"/>
  <c r="K27" i="9"/>
  <c r="J27" i="9"/>
  <c r="L23" i="9"/>
  <c r="K23" i="9"/>
  <c r="J23" i="9"/>
  <c r="H74" i="9"/>
  <c r="CK46" i="12"/>
  <c r="CK36" i="12"/>
  <c r="AM64" i="12"/>
  <c r="C145" i="13"/>
  <c r="C146" i="13"/>
  <c r="C148" i="13"/>
  <c r="C153" i="13"/>
  <c r="C154" i="13"/>
  <c r="C155" i="13"/>
  <c r="C156" i="13"/>
  <c r="CK44" i="12"/>
  <c r="F74" i="9"/>
  <c r="G74" i="9"/>
  <c r="C139" i="13"/>
  <c r="CC64" i="12"/>
  <c r="BV64" i="12"/>
  <c r="CC63" i="12"/>
  <c r="BV63" i="12"/>
  <c r="AT64" i="12"/>
  <c r="CC62" i="12"/>
  <c r="BV62" i="12"/>
  <c r="R64" i="12"/>
  <c r="CK37" i="12"/>
  <c r="F80" i="9"/>
  <c r="G29" i="6"/>
  <c r="B29" i="6"/>
  <c r="C29" i="6"/>
  <c r="D107" i="9"/>
  <c r="B107" i="9"/>
  <c r="G33" i="9"/>
  <c r="H33" i="9"/>
  <c r="F33" i="9"/>
  <c r="H117" i="9"/>
  <c r="H113" i="9"/>
  <c r="H104" i="9"/>
  <c r="H99" i="9"/>
  <c r="H93" i="9"/>
  <c r="H80" i="9"/>
  <c r="H27" i="9"/>
  <c r="H23" i="9"/>
  <c r="H38" i="9"/>
  <c r="G117" i="9"/>
  <c r="F117" i="9"/>
  <c r="G113" i="9"/>
  <c r="F113" i="9"/>
  <c r="G104" i="9"/>
  <c r="F104" i="9"/>
  <c r="G99" i="9"/>
  <c r="F99" i="9"/>
  <c r="G93" i="9"/>
  <c r="F93" i="9"/>
  <c r="G80" i="9"/>
  <c r="G38" i="9"/>
  <c r="F38" i="9"/>
  <c r="G27" i="9"/>
  <c r="F27" i="9"/>
  <c r="G23" i="9"/>
  <c r="F23" i="9"/>
  <c r="B117" i="9"/>
  <c r="B113" i="9"/>
  <c r="B99" i="9"/>
  <c r="B93" i="9"/>
  <c r="B74" i="9"/>
  <c r="B38" i="9"/>
  <c r="B33" i="9"/>
  <c r="B27" i="9"/>
  <c r="B23" i="9"/>
  <c r="B80" i="9"/>
  <c r="C23" i="9"/>
  <c r="C27" i="9"/>
  <c r="C33" i="9"/>
  <c r="C38" i="9"/>
  <c r="C74" i="9"/>
  <c r="C80" i="9"/>
  <c r="C93" i="9"/>
  <c r="C99" i="9"/>
  <c r="D99" i="9"/>
  <c r="D117" i="9"/>
  <c r="D113" i="9"/>
  <c r="D104" i="9"/>
  <c r="D93" i="9"/>
  <c r="D80" i="9"/>
  <c r="D38" i="9"/>
  <c r="D27" i="9"/>
  <c r="D33" i="9"/>
  <c r="D23" i="9"/>
  <c r="C113" i="9"/>
  <c r="C104" i="9"/>
  <c r="B104" i="9"/>
  <c r="CK50" i="12" l="1"/>
  <c r="D119" i="9"/>
  <c r="D124" i="9" s="1"/>
  <c r="CQ63" i="12"/>
  <c r="L119" i="9"/>
  <c r="AF64" i="12"/>
  <c r="D64" i="12"/>
  <c r="CQ62" i="12"/>
  <c r="BA64" i="12"/>
  <c r="Y64" i="12"/>
  <c r="C157" i="13"/>
  <c r="J119" i="9"/>
  <c r="K119" i="9"/>
  <c r="C119" i="9"/>
  <c r="B119" i="9"/>
  <c r="G119" i="9"/>
  <c r="H119" i="9"/>
  <c r="F119" i="9"/>
  <c r="CU63" i="12"/>
  <c r="CU62" i="12"/>
  <c r="CQ64" i="12" l="1"/>
  <c r="CU64" i="12"/>
  <c r="C141" i="13" l="1"/>
</calcChain>
</file>

<file path=xl/sharedStrings.xml><?xml version="1.0" encoding="utf-8"?>
<sst xmlns="http://schemas.openxmlformats.org/spreadsheetml/2006/main" count="2138" uniqueCount="673">
  <si>
    <t>ASIA PACIFIC COLLEGE</t>
  </si>
  <si>
    <t>Student Number:</t>
  </si>
  <si>
    <t>-</t>
  </si>
  <si>
    <t>Last name:</t>
  </si>
  <si>
    <t>First Name:</t>
  </si>
  <si>
    <t>M.I.</t>
  </si>
  <si>
    <t>Bachelor of Sience In Computer Engineering</t>
  </si>
  <si>
    <t>Software Development/Machine Learning/Robotics Technology Track</t>
  </si>
  <si>
    <t>Student Name:</t>
  </si>
  <si>
    <t xml:space="preserve">Curriculum Flowchart 2026:1 2026-CPE-A (CPE261/262) </t>
  </si>
  <si>
    <t>Target Release Date: July 2026</t>
  </si>
  <si>
    <t>First Year</t>
  </si>
  <si>
    <t>Second Year</t>
  </si>
  <si>
    <t>Third Year</t>
  </si>
  <si>
    <t>Fourth Year</t>
  </si>
  <si>
    <t>1st Term</t>
  </si>
  <si>
    <t>2nd Term</t>
  </si>
  <si>
    <t>3rd Term</t>
  </si>
  <si>
    <t>1A</t>
  </si>
  <si>
    <t>1C</t>
  </si>
  <si>
    <t>CALCONE</t>
  </si>
  <si>
    <t>CALCTWO</t>
  </si>
  <si>
    <t>ENGDATA</t>
  </si>
  <si>
    <t>DIEQUAT</t>
  </si>
  <si>
    <t>NUMERCL</t>
  </si>
  <si>
    <t>FDCONTS</t>
  </si>
  <si>
    <t>DIGSPRO / DIGSLAB</t>
  </si>
  <si>
    <t>HEALTHS</t>
  </si>
  <si>
    <t>SEMSTRP</t>
  </si>
  <si>
    <t>INTERN1</t>
  </si>
  <si>
    <t>INTERN2</t>
  </si>
  <si>
    <t>2C</t>
  </si>
  <si>
    <t>1E</t>
  </si>
  <si>
    <t>1D</t>
  </si>
  <si>
    <t>ENGCHEM/ENGCHLB</t>
  </si>
  <si>
    <t>PHYENLC/PHYENLB</t>
  </si>
  <si>
    <t>ELECIRK / CRKTLAB</t>
  </si>
  <si>
    <t>ELEXCKT / ELEXLAB</t>
  </si>
  <si>
    <t>LOGCDES / LOGICLB</t>
  </si>
  <si>
    <t>CPEDRAF</t>
  </si>
  <si>
    <t>DATCOMS</t>
  </si>
  <si>
    <t>COMNETS / NETSLAB</t>
  </si>
  <si>
    <t>CPELAWS</t>
  </si>
  <si>
    <t>Note: All academic subjects should be completed to take INTERN1</t>
  </si>
  <si>
    <t>2D</t>
  </si>
  <si>
    <t>CPEDISC</t>
  </si>
  <si>
    <t>ECONOMC</t>
  </si>
  <si>
    <t>USERINX</t>
  </si>
  <si>
    <t>PURPCOM</t>
  </si>
  <si>
    <t>MIXSIGS</t>
  </si>
  <si>
    <t>EMBEDDS / EMBEDLB</t>
  </si>
  <si>
    <t>COMAROR / ARCORLAB</t>
  </si>
  <si>
    <t>CPEDES2</t>
  </si>
  <si>
    <t>1B</t>
  </si>
  <si>
    <t xml:space="preserve"> PROGLOD</t>
  </si>
  <si>
    <t>OBJPROG</t>
  </si>
  <si>
    <t>DATSTRC</t>
  </si>
  <si>
    <t>OPRSYST</t>
  </si>
  <si>
    <t>MATWORL</t>
  </si>
  <si>
    <t>EMICROS / MCROLAB</t>
  </si>
  <si>
    <t>CPEMETS</t>
  </si>
  <si>
    <t>CPEDES1</t>
  </si>
  <si>
    <t>EMERTEC</t>
  </si>
  <si>
    <t>2A</t>
  </si>
  <si>
    <t>2B</t>
  </si>
  <si>
    <t>GETHICS</t>
  </si>
  <si>
    <t>PHILHIS</t>
  </si>
  <si>
    <t>MOBCAPP</t>
  </si>
  <si>
    <t>DATMGTS</t>
  </si>
  <si>
    <t>SOFTDES / SOFTLAB</t>
  </si>
  <si>
    <t>INTOHDL</t>
  </si>
  <si>
    <t>TECH101</t>
  </si>
  <si>
    <t>CONWORL</t>
  </si>
  <si>
    <t>PEDUONE</t>
  </si>
  <si>
    <t>PEDUTWO</t>
  </si>
  <si>
    <t>PEDUTRI</t>
  </si>
  <si>
    <t>PEDUFOR</t>
  </si>
  <si>
    <t>SCITECS</t>
  </si>
  <si>
    <t>UNDSELF</t>
  </si>
  <si>
    <t>EXCOMP1</t>
  </si>
  <si>
    <t>EXCOMP2</t>
  </si>
  <si>
    <t>PROFETH</t>
  </si>
  <si>
    <t>I. TECHNICAL COURSES</t>
  </si>
  <si>
    <t>A. Mathematics</t>
  </si>
  <si>
    <t>B. Physical Science</t>
  </si>
  <si>
    <t>C. Basic Engineering Sciences</t>
  </si>
  <si>
    <t>D. Allied Subjects</t>
  </si>
  <si>
    <t>NATSER 1</t>
  </si>
  <si>
    <t>NATSER 2</t>
  </si>
  <si>
    <t>DISCMAT</t>
  </si>
  <si>
    <t>RIZLIFE</t>
  </si>
  <si>
    <t>ENGCADD</t>
  </si>
  <si>
    <t>ARTAPRE</t>
  </si>
  <si>
    <t>CPECGS1/M1/R1</t>
  </si>
  <si>
    <t>CPECGS2/M2/R2</t>
  </si>
  <si>
    <t>CPECGS3/M3/R3</t>
  </si>
  <si>
    <t>E. Core Courses</t>
  </si>
  <si>
    <t>F. Cognates/Electives</t>
  </si>
  <si>
    <t>II. Non-Technical Courses</t>
  </si>
  <si>
    <t>A. Social Science</t>
  </si>
  <si>
    <t>2F</t>
  </si>
  <si>
    <t>B. GEC Electives</t>
  </si>
  <si>
    <t>C. Languages</t>
  </si>
  <si>
    <t>D. Mandated Course</t>
  </si>
  <si>
    <t>E. Physical Education</t>
  </si>
  <si>
    <t>E. National Service Training Program</t>
  </si>
  <si>
    <t>LIST OF TECHNICAL ELECTIVES:</t>
  </si>
  <si>
    <t>TOTAL UNITS</t>
  </si>
  <si>
    <t>Software Development</t>
  </si>
  <si>
    <t>Machine Learning</t>
  </si>
  <si>
    <t>Robotics Technology</t>
  </si>
  <si>
    <t>CPECGS1</t>
  </si>
  <si>
    <t>Web Development</t>
  </si>
  <si>
    <t>CPECGM1</t>
  </si>
  <si>
    <t>Fundamentals of Machine Learning</t>
  </si>
  <si>
    <t>CPECGR1</t>
  </si>
  <si>
    <t>Principles of Robotics</t>
  </si>
  <si>
    <t>Legend:</t>
  </si>
  <si>
    <t>CPECGS2</t>
  </si>
  <si>
    <t>C# Programming</t>
  </si>
  <si>
    <t>CPECGM2</t>
  </si>
  <si>
    <t>Data Analytics Programming (R/Python Programming)</t>
  </si>
  <si>
    <t>CPECGR2</t>
  </si>
  <si>
    <t>Mobile Robotics Application</t>
  </si>
  <si>
    <t>Connected</t>
  </si>
  <si>
    <t>CPECGS3</t>
  </si>
  <si>
    <t>Online Technology</t>
  </si>
  <si>
    <t>CPECGM3</t>
  </si>
  <si>
    <t>Artifcial Neural Networks</t>
  </si>
  <si>
    <t>CPECGR3</t>
  </si>
  <si>
    <t>Robot Vision</t>
  </si>
  <si>
    <t>Soft-requisite (In case of 'Repeat' requisite, both subjects can be taken simultaneously)</t>
  </si>
  <si>
    <t>** 4th year Standing</t>
  </si>
  <si>
    <t>* Maximum of 18 units remaining</t>
  </si>
  <si>
    <t>Lecture Units</t>
  </si>
  <si>
    <t>Total (Lecture) :</t>
  </si>
  <si>
    <t>Labororatory Units</t>
  </si>
  <si>
    <t>Total (Laboratory) :</t>
  </si>
  <si>
    <t>Total Units</t>
  </si>
  <si>
    <t>Total :</t>
  </si>
  <si>
    <t>SCHOOL OF ENGINEERING</t>
  </si>
  <si>
    <t>SoE</t>
  </si>
  <si>
    <t>PROSPECTUS</t>
  </si>
  <si>
    <t>SCHOOL YEAR 2024-2025</t>
  </si>
  <si>
    <t>BACHELOR OF SCIENCE IN COMPUTER ENGINEERING</t>
  </si>
  <si>
    <t>The Bachelor of Science in Computer Engineering (BSCpE) is a four-year trimestral degree that aims to produce certified computer engineers. It embodies the science and technology of design, development, implementation, maintenance, and integration of software and hardware components in modern computing systems and computer-controlled equipment.</t>
  </si>
  <si>
    <t>Bachelor of Science in Computer Engineering</t>
  </si>
  <si>
    <t>FIRST YEAR</t>
  </si>
  <si>
    <t>FIRST TRIMESTER</t>
  </si>
  <si>
    <t>SECOND TRIMESTER</t>
  </si>
  <si>
    <t>THIRD TRIMESTER</t>
  </si>
  <si>
    <t>COURSE</t>
  </si>
  <si>
    <t>COURSE DESCRIPTION</t>
  </si>
  <si>
    <t>UNITS</t>
  </si>
  <si>
    <t>Calculus 1</t>
  </si>
  <si>
    <t>Calculus 2</t>
  </si>
  <si>
    <t>Engineering Data Analysis</t>
  </si>
  <si>
    <t>Chemistry for Engineers Lecture / 
Chemistry for Engineers Laboratory</t>
  </si>
  <si>
    <t>PHYENLC/LB</t>
  </si>
  <si>
    <t>Physics for Engineers Lecture / 
Physics for Engineers Laboratory</t>
  </si>
  <si>
    <t>Fundamentals of Electrical Circuits Lecture / Fundamentals of Electrical Circuits Laboratory</t>
  </si>
  <si>
    <t>Computer Engineering as a Discipline</t>
  </si>
  <si>
    <t>Object Oriented Programming</t>
  </si>
  <si>
    <t>Engineering Economics</t>
  </si>
  <si>
    <t>PROGLOD</t>
  </si>
  <si>
    <t>Programming Logic and Design</t>
  </si>
  <si>
    <t>Readings in Philippine History</t>
  </si>
  <si>
    <t>Data Structures and Algorithms</t>
  </si>
  <si>
    <t xml:space="preserve">Ethics </t>
  </si>
  <si>
    <t>Physical Education 2</t>
  </si>
  <si>
    <t>Physical Education 3</t>
  </si>
  <si>
    <t>Physical Education 1</t>
  </si>
  <si>
    <t>NATSER2</t>
  </si>
  <si>
    <t>NSTP 2</t>
  </si>
  <si>
    <t>Discrete Mathematics</t>
  </si>
  <si>
    <t>NATSER1</t>
  </si>
  <si>
    <t>NSTP 1</t>
  </si>
  <si>
    <t>SECOND YEAR</t>
  </si>
  <si>
    <t>Differential Equations</t>
  </si>
  <si>
    <t>Numerical Methods</t>
  </si>
  <si>
    <t>Feedback and Control Systems</t>
  </si>
  <si>
    <t>ELEXCKT/ ELEXLAB</t>
  </si>
  <si>
    <t>Fundamentals of Electronics Circuit Lecture / Fundamentals of Electronics Circuit Laboratory</t>
  </si>
  <si>
    <t>Logic Circuit and Design Lecture / 
Logic Circuit and Design Laboratory</t>
  </si>
  <si>
    <t>Computer Engineering Drafting and Design</t>
  </si>
  <si>
    <t>User Interface and User Experience</t>
  </si>
  <si>
    <t xml:space="preserve">Purposive Communicaton </t>
  </si>
  <si>
    <t>Fundamentals of Mixed Signals and Sensors</t>
  </si>
  <si>
    <t>Operating Systems</t>
  </si>
  <si>
    <t>Database Management System</t>
  </si>
  <si>
    <t>Microprocessors Lecture / 
Microprocessors Laboratory</t>
  </si>
  <si>
    <t>Mobile Code Technology and Application</t>
  </si>
  <si>
    <t>Mathematics for the Modern World</t>
  </si>
  <si>
    <t>SOFTDES/ SOFTLAB</t>
  </si>
  <si>
    <t>Software Design Lecture / 
Software Design Laboratory</t>
  </si>
  <si>
    <t>Life and Works of Rizal</t>
  </si>
  <si>
    <t>Computer Aided Drafting</t>
  </si>
  <si>
    <t>Understanding the Self</t>
  </si>
  <si>
    <t>Physical Education 4</t>
  </si>
  <si>
    <t>Science, Technology, and Society</t>
  </si>
  <si>
    <t>Art Appreciation</t>
  </si>
  <si>
    <t>THIRD YEAR</t>
  </si>
  <si>
    <t>Digital Signal Processing Lecture / 
Digital Signal Processing Laboratory</t>
  </si>
  <si>
    <t>Basic Occupational Health and Safety</t>
  </si>
  <si>
    <t>Seminars and Field Trips</t>
  </si>
  <si>
    <t>Data and Digital Communications</t>
  </si>
  <si>
    <t>Computer Networks and Security Lecture / Computer Networks and Security Laboratory</t>
  </si>
  <si>
    <t>CPE Laws and Practice</t>
  </si>
  <si>
    <t>Embedded System Lecture / 
Embedded System Laboratory</t>
  </si>
  <si>
    <t>COMAROR / ARCORLB</t>
  </si>
  <si>
    <t>Computer Architecture and Organization Lecture / Computer Architecture and Organization Laboratory</t>
  </si>
  <si>
    <t>CPE Practice and Design 2</t>
  </si>
  <si>
    <t>Methods of Research</t>
  </si>
  <si>
    <t>CPE Practice and Design 1</t>
  </si>
  <si>
    <t>Emerging Technologies in CpE</t>
  </si>
  <si>
    <t>Intro to HDL</t>
  </si>
  <si>
    <t>Technopreneursip 101</t>
  </si>
  <si>
    <t>The Contemporary World</t>
  </si>
  <si>
    <t>Extensive Communicaion Competency Program 1</t>
  </si>
  <si>
    <t>Extensive Communicaion Competency Program 2</t>
  </si>
  <si>
    <t>Professional Ethics</t>
  </si>
  <si>
    <t>CPECGS1/ CPECGM1/ CPECGR1</t>
  </si>
  <si>
    <t>Cognate 1</t>
  </si>
  <si>
    <t>CPECGS2/ CPECGM2/ CPECGR2</t>
  </si>
  <si>
    <t>Cognate 2</t>
  </si>
  <si>
    <t>CPECGS3/ CPECGM3/ CPECGR3</t>
  </si>
  <si>
    <t>Cognate 3</t>
  </si>
  <si>
    <t>FOURTH YEAR</t>
  </si>
  <si>
    <t>Internship 1</t>
  </si>
  <si>
    <t>Internship 2</t>
  </si>
  <si>
    <t>INTERN3</t>
  </si>
  <si>
    <t>Internship 3</t>
  </si>
  <si>
    <t>PROFESSIONAL ELECTIVES</t>
  </si>
  <si>
    <t>3rd YEAR, FIRST TRIMESTER</t>
  </si>
  <si>
    <t>3rd YEAR, THIRD TRIMESTER</t>
  </si>
  <si>
    <t>4th YEAR, FIRST TRIMESTER</t>
  </si>
  <si>
    <t>Artificial Neural Networks</t>
  </si>
  <si>
    <t>TECHNICAL COURSES</t>
  </si>
  <si>
    <t>MATHEMATICS</t>
  </si>
  <si>
    <t>COURSE CODE</t>
  </si>
  <si>
    <t>SUBJECT</t>
  </si>
  <si>
    <t>PRE-REQUISITE</t>
  </si>
  <si>
    <t>DESCRIPTION</t>
  </si>
  <si>
    <t>NONE</t>
  </si>
  <si>
    <t>An introductory course covering the core concepts of limit, continuity and differentiability of functions involving one or more variables. This also includes the application of differential calculations in solving problems on optimization, rates of change, related rates, tangents and normals, and approximations; partial differentiation and transcendental curve tracing.</t>
  </si>
  <si>
    <t>CALTWO</t>
  </si>
  <si>
    <t>The course introduces the concept of integration and its application to some physical problems such as evaluation of areas, volumes of revolution, force, and work. The fundamental formula and various techniques of integration are taken up and applied to both single single variable and multi-variable functions. The course also includes tracing of functions of two variables for a bette appreciation of the interpretation of the double and triple integration as vlume of a three-dimensional region bounded by two or more surfaces.</t>
  </si>
  <si>
    <t>This course is designed for undergraduate engineering students with emphasis on problem solving realted to societal issues that engineers and scientists are called upon to solve. It introduces different method for a given situation. The relationship of probability to statistics is also discussed, providing students with the tools they need to understand how "chance" plays a role in statistical analysis. Probability distributions of random variables and their uses are also considered, along  with a discussion of linear functions of random variables within the context of their application to data analysis and inference. The course also incldes estimation techniques for unknown parameters; hypothesis testing used in making inferences from sample to population; inference for regression parameters and build models for estimating means and predicting future values of key variables under study. Finally, statistically based experiments are discussed with the aid of statistical software.</t>
  </si>
  <si>
    <t>Differential Calculus</t>
  </si>
  <si>
    <t>This course is intended for all engineering students to have a firm foundation on differential equations in preparation for their degree-specific advanced mathematical courses. It covers first order differential equations, nth order linear differential equations and systems of first order linear differential equations. It also introduces the concept of Laplace Transforms in solving differential equations. The students are expected to be able to recognize different kinds of differential equations, determine existence and uniqueness of solution, select the appropriate methods of solution and interpret the obtained solution. Students are also expected to relate differential equations to various practical engineering and scientific problems as well as employ computer technology in solving and verifying solutions.</t>
  </si>
  <si>
    <t>PHYSICAL SCIENCES</t>
  </si>
  <si>
    <t>ENGCHEM</t>
  </si>
  <si>
    <t>Chemistry for Engineers</t>
  </si>
  <si>
    <t>This course provides students with core concepts of chemistry that are important in the pratice of engineering profession.</t>
  </si>
  <si>
    <t>ENGCHLB</t>
  </si>
  <si>
    <t>Chemistry for Engineers Laboratory</t>
  </si>
  <si>
    <t>A fundamental laboratory course designed to provide opportunity to observe and apply the principles and theories taught in the chemistry for engineers.</t>
  </si>
  <si>
    <t>PHYENLC</t>
  </si>
  <si>
    <t>Physics for Engineers</t>
  </si>
  <si>
    <t>This course covers vectors; kinematics; dynamics; work, energy, and power, impluse and momentum; rotation; dynamics of rotations; elasticity; and oscillation. Fluids; thermal expansion, thermal stress; heat transfer; calorimetry; waves; electrostatic; electricity; magnetism; optics; image formation by plane and curved mirrors; and image formation by thin lenses.</t>
  </si>
  <si>
    <t>PHYENLB</t>
  </si>
  <si>
    <t>Physics fo Enginees Laboratory</t>
  </si>
  <si>
    <t>A fundamental laboratory course designed to provide opportunity to observe and apply the principles and theories taught in the physics  for engineers.</t>
  </si>
  <si>
    <t>Basic Engineering and Sciences</t>
  </si>
  <si>
    <t>2nd Year Standing</t>
  </si>
  <si>
    <t>Concepts of computer-aided drafting (CAD); introduction to the CAD environment; terminologies; and the general operating procedures and techniques in entering and executing basic CAD commands.</t>
  </si>
  <si>
    <t>This course covers concepts of the time value of money and equivalence; basic economy study methods; decisions under certainty; decisions recognizing risk; and decisions admitting uncertainty.</t>
  </si>
  <si>
    <t>Technopreneurship 101</t>
  </si>
  <si>
    <t>The course includes the journey into the world of entrepreneurship with introspection of a business idea into a viable venture. The focus is on unleashing the entrepreneurial spirit in each individual.</t>
  </si>
  <si>
    <t>ITCONCE</t>
  </si>
  <si>
    <t>I.T. Concept</t>
  </si>
  <si>
    <t>A course covers basic theory and concept of Information and Communications Technology.</t>
  </si>
  <si>
    <t>ALLIED SUBJECTS</t>
  </si>
  <si>
    <t>ELECIRK</t>
  </si>
  <si>
    <t>Fundamentals of Electrical Circuits</t>
  </si>
  <si>
    <t>PHYENLC &amp; PHYENLB</t>
  </si>
  <si>
    <t>This course introduces the fundamental concepts, circuit laws, theorems and techniques used in electrical circuit analysis and transient analysis, as well as its application. The course covers circuit topologies and DC excitations, transient response, AC response, and polyphase circuits. The use of computer software for circuit simulation and design are emphasized to expose students to computer-based tools.</t>
  </si>
  <si>
    <t>CRKTLAB</t>
  </si>
  <si>
    <t>Fundamentals of Electrical Circuits Laboratory</t>
  </si>
  <si>
    <t>This course allows the students to verify the laws and theorems discussed in Fundamentals of Electrical Circuits (lecture) through simulation, experimentation and project construction. The course topics include experimental determination of the characteristics of the different circuit configurations (series, parallel, series/parallel, delta, and wye), electrical power, Ohm's Law, Kirchhoff's Voltage and Current Laws, Superposition Theorem, Thevenin's Equivalent circuit, and maximum power transfer. The use of computer software for circuit simulation and design are used as basis in verifying expermental results and to expose students to computer-based tools.</t>
  </si>
  <si>
    <t>ELEXCKT</t>
  </si>
  <si>
    <t>Fundamentals of Electronic Circuits</t>
  </si>
  <si>
    <t>ELECIRK &amp; CRKTLAB</t>
  </si>
  <si>
    <t>The course discusses the construction, operation, and characteristics of basic electronics devices sch as junction diodes, bipolar junction transistors, Field Effect Transistors and MOS Field Effect Transistors and oscillators.</t>
  </si>
  <si>
    <t>ELEXLAB</t>
  </si>
  <si>
    <t>Fundamentals of Electronic Circuits Laboratory</t>
  </si>
  <si>
    <t>This course os the laboratory component of the course Fundamentals of Electronic Circuits (Lecture) that allows students to verify theoretical concepts pertaining to the operation of electronics devices such as the PN junction diodes, BJT and FET and their sibsequent applications to electronics circuits involving reftification, amplification and switching applications. The use of laboratory equipment and apparatus to verify the characteristics of diodes and transistor devices, and their operation in circuits such as rectifiers, voltage regulators, amplifiers, oscillatos and switches are emphasized. Such equipment includes but not limited to the curve tracers, the oscilloscope, signal generator and multi-meters.</t>
  </si>
  <si>
    <t>PROFESSIONAL COURSES</t>
  </si>
  <si>
    <t>CORE COURSES</t>
  </si>
  <si>
    <t>This course deals with logic, sets, proofs, growth of functions, theory of numbers, counting techniques, trees and graph theory.</t>
  </si>
  <si>
    <t>This course covers the concept of numerical analysis and computer software tools in dealing with engineering problems. It includes techniques in finding the roots of an equation, solving systems of linear and non-linear equations, eigenvalue problems, polynomials approximation and interpolation, ordinary and partial differential equations. The Monte-Carlo method, simulation, error propagation and analysis, the methods of least squares and goodness-of-fit tests are also discussed.</t>
  </si>
  <si>
    <t>This course covers discussion about APC’s engineering degrees and curriculum; introduction to engineering profession: common traits of good engineers, engineering disciplines; preparation for an engineering career; engineering licensures, certifications and organizations; and introduction to engineering code of ethics, This will also prepare students how to prepare students for success through engineering design process, ethical decision-making, teamwork, and communicating to diverse audiences.</t>
  </si>
  <si>
    <t>ELEXCKT/ ELEXLAB, ELECIRK / CRKTLAB</t>
  </si>
  <si>
    <t>This course covers operational amplifiers, signal converters, power switching devices and the construction and operation of sensors and transducers for converting physical parameters into electrical signals and vice-versa. The course focuses on the application of these devices in developing signal conversion circuits that allows measurement, processing and control of physical parameters by digital processing systems such as a finite state machine or a digital computer. Topics on actuators are also included.</t>
  </si>
  <si>
    <t>This course focuses on the principles of layout of electrical, electronics, and logic drawings; stressing modern representation used for block diagrams, wiring/assembly, drawings, printed circuit board layouts, and etching.</t>
  </si>
  <si>
    <t>This is an introductory course in computer programming logic. The student will learn algorithms applicable to all programming languages, including: identifiers, data types, arrays, control structures, modular programming, generating reports, and computer memory concepts. The student will learn to use charts commonly used in business and information processing. Program logic will be developed using flowcharts and pseudo code. Programs will be written using any programming language.</t>
  </si>
  <si>
    <t>Solving computational problems that involve manipulating collections of data, study a core set of data abstractions, data structures, and algorithms that provide a foundation for writing efficient programs.</t>
  </si>
  <si>
    <t>Introduces the fundamental concepts of programming from an object oriented perspective. Topics are drawn from classes and objects, abstraction, encapsulation, data types, calling methods and passing parameters, decisions, loops, arrays and collections, documentation, testing and debugging, exceptions, design issues, inheritance, and polymorphic variables and methods. The course emphasizes modern software engineering and design principles.</t>
  </si>
  <si>
    <t>SOFTDES</t>
  </si>
  <si>
    <t>Software Design</t>
  </si>
  <si>
    <t>This course focuses on programming paradigms and constructs, data structures and use of standard library functions for manipulating them, object-oriented design and the use of modeling languages, testing and software quality concepts, and tradeoffs among different software design methods.</t>
  </si>
  <si>
    <t>SOFTLAB</t>
  </si>
  <si>
    <t>Software Design Laboratory</t>
  </si>
  <si>
    <t>This course focuses on providing hands-on experience in software design.</t>
  </si>
  <si>
    <t>EMICROS</t>
  </si>
  <si>
    <t>Microprocessors</t>
  </si>
  <si>
    <t>This course provides understanding of architecture of microprocessor-based systems; registers, study of microprocessor operation, assembly language, arithmetic operations, and interfacing.</t>
  </si>
  <si>
    <t>MCROLAB</t>
  </si>
  <si>
    <t>Microprocessors Laboratory</t>
  </si>
  <si>
    <t>This course provides understanding of architecture of microprocessor-based systems; study of microprocessor operation, assembly language, arithmetic operations, and interfacing</t>
  </si>
  <si>
    <t>LOGCDES</t>
  </si>
  <si>
    <t>Logic Circuits and Design</t>
  </si>
  <si>
    <t>The course includes design and analysis or digital circuits. This course covers both combinational (synchronous and asynchronous) logic circuits with emphasis on solving digital problems using hardwired structures of the complexity of medium and large-scale integration.</t>
  </si>
  <si>
    <t>LOGICLB</t>
  </si>
  <si>
    <t>Logic Circuits and Design Laboratory</t>
  </si>
  <si>
    <t>This course focuses on providing hands-on experience in designing digital circuits.</t>
  </si>
  <si>
    <t xml:space="preserve">Methods of Research </t>
  </si>
  <si>
    <t>ENGDATA, PURPCOM, LOGCDES / LOGICLB</t>
  </si>
  <si>
    <t>This course will provide in-depth understanding of research through exploration of different research methodologies and ethics. It includes qualitative and quantitative research, descriptive and other applicable research methodologies, inferential statistics and introduction to data mining.</t>
  </si>
  <si>
    <t>This course includes different policies and strategies used by an operating system. Topics include operating systems structures, process management, storage management, file management and distributed systems.</t>
  </si>
  <si>
    <t>COMAROR</t>
  </si>
  <si>
    <t>Computer Architecture and Organization</t>
  </si>
  <si>
    <t>This course includes the study of the evolution of computer architecture and the factors influencing the design of hardware and software elements of computer systems. The focus is on the understanding of the design issues specifically the instruction set architecture and hardware architecture.</t>
  </si>
  <si>
    <t>ARCORLB</t>
  </si>
  <si>
    <t>Computer Architecture and Organization Laboratory</t>
  </si>
  <si>
    <t>This course will provide hands-on activities designed to focus on the computer hardware issues specifically the instruction set architecture and hardware architecture.</t>
  </si>
  <si>
    <t>This course focuses on the fundamental concepts of digital and data communications. It also includes topics on data security and integrity.</t>
  </si>
  <si>
    <t>COMNETS</t>
  </si>
  <si>
    <t>Computer Networks and Security</t>
  </si>
  <si>
    <t>The course includes the basic principles of network architecture, computer network design, services, technologies and network security.</t>
  </si>
  <si>
    <t>NETSLAB</t>
  </si>
  <si>
    <t>Computer Networks and Security Laboratory</t>
  </si>
  <si>
    <t>This course provides hands-on laboratory activities on computer networking. It focuses on the configuration of TCP/IP, routers and switches, network security and wireless fidelity.</t>
  </si>
  <si>
    <t>EMBEDDS</t>
  </si>
  <si>
    <t>Embedded Systems</t>
  </si>
  <si>
    <t>This course provides advanced topics in embedded systems design using contemporary practice; interrupt-driven, reactive, real-time, object- oriented, and distributed client/server embedded systems.</t>
  </si>
  <si>
    <t>EMBEDLB</t>
  </si>
  <si>
    <t>Embedded Systems Laboratory</t>
  </si>
  <si>
    <t>This course will provide hands-on activities designed to advanced topics in embedded systems design using contemporary practice; interrupt-driven, reactive, real-time, object- oriented, and distributed client/server embedded systems.</t>
  </si>
  <si>
    <t>DIGSPRO</t>
  </si>
  <si>
    <t>Digital Signal Processing</t>
  </si>
  <si>
    <t>The course includes the need for and tradeoffs made when sampling and quantizing a signal; linear, time-invariant system properties; frequency as an analysis domain complementary to time; and filter design.</t>
  </si>
  <si>
    <t>DIGSLAB</t>
  </si>
  <si>
    <t>Digital Signal Processing Laboratory</t>
  </si>
  <si>
    <t>This course is designed to provide hands-on activities on different applications of digital signals processing.</t>
  </si>
  <si>
    <t>The course includes the control devices, equations of a systems and block diagram of systems.</t>
  </si>
  <si>
    <t>Introduction to HDL</t>
  </si>
  <si>
    <t>PROGLOD, ELEXCKT/ ELEXLAB</t>
  </si>
  <si>
    <t>A laboratory course that introduces hardware description language as a tool for designing and testing combinational and sequential circuits. It covers fundamental of concepts of HDL and the basic building blocks of HDL programming.</t>
  </si>
  <si>
    <t>4th year Standing</t>
  </si>
  <si>
    <t>The course includes seminars and lecturers on current trends and issues on Computer Engineering developments. Include field trips to different companies and plants dealing with computer system facilities.</t>
  </si>
  <si>
    <t>3rd year Standing</t>
  </si>
  <si>
    <t>This course tackles key Occupational Health and Safety (OSH) concepts, principles and practices that are foundational knowledge requirements applicable in almost all industries. Specifically, it assists learners in identifying the key elements in the OSH situation both here and abroad; determine existing and potential safety and health hazards; identify the range of control measures; discuss pertinent provisions of Philippine laws that refer to occupational safety and health; explain key principles in effectively communicating OSH; identify components of effective OSH programs and demonstrate some skills in identifying hazards and corresponding control measures at the workplace.</t>
  </si>
  <si>
    <t>CpE Laws and Professional Practice</t>
  </si>
  <si>
    <t>This course provides the importance of the professional and ethical responsibilities of practicing computer engineers and the effects of their work on society; the importance of understanding contemporary issues, lifelong learning strategies; and applicable IT laws in the field of computer engineering.</t>
  </si>
  <si>
    <t>This course is designed to provide flexibility in the curriculum by discussing any emerging technologies applicable to computer engineering.</t>
  </si>
  <si>
    <t>CpE Practice and Design 1</t>
  </si>
  <si>
    <t>This course is the first course in a two-semester sequence that constitutes the design experience for undergraduate computer engineers. It provides essential ideas, concepts and principles in engineering design process and emphasizes other design issues including engineering standards and multiple constraints as well as effective communication strategies. Students work in teams to develop project proposals for assigned open-ended problems. Students are required to make oral presentations and submit written proposal for their projects.</t>
  </si>
  <si>
    <t>CpE Practice and Design 2</t>
  </si>
  <si>
    <t>This course is the second of the design experience for undergraduate computer engineering students. In this course, students will be expected to build/fabricate their design, test and evaluate the design against their design specifications, and demonstrate a fully functional project to their design review committee. Students make oral presentations and submit final reports documenting their projects.</t>
  </si>
  <si>
    <t>No Academic Subjects Left</t>
  </si>
  <si>
    <t>INTERN 1 (Foundational Professional Practice) is a full-time industry immersion course in the Computer Engineering program that introduces students to real-world engineering environments by developing foundational professional and technical competencies. Students are exposed to the host organization’s structure, workflows, and operational practices while performing supervised entry-level technical tasks that apply fundamental engineering knowledge using industry tools and systems. The course emphasizes adherence to workplace standards, professional ethics, effective communication, teamwork, and accountability, alongside the preparation of technical documentation and reflective reports that link academic learning to industry experience. Through guided supervision and structured activities, students build essential skills and professional awareness necessary for more advanced responsibilities in subsequent internship terms.</t>
  </si>
  <si>
    <t>INTERN 2 (Intermediate Responsibility) is a full-time industry immersion course that focuses on the application of technical knowledge and the development of problem-solving skills in real-world engineering settings. Students undertake more complex tasks with reduced supervision, actively contributing to ongoing projects while integrating academic concepts into practical solutions. The course emphasizes analytical thinking, participation in technical discussions, use of industry-standard tools and methodologies, and collaboration within multidisciplinary teams. Students are expected to evaluate workplace practices, address technical challenges, and produce structured reports demonstrating their growing competence and professional development.</t>
  </si>
  <si>
    <t>INTERN 3 (Industry Synthesis) is a full-time industry immersion course that emphasizes independent technical contribution, professional integration, and the synthesis of industry experience. Students are expected to perform assigned responsibilities with minimal supervision, contribute to actual company projects or process improvements, and demonstrate sound decision-making in addressing engineering tasks and challenges. The course highlights the integration of technical competence, ethical responsibility, and workplace professionalism, culminating in the preparation of a comprehensive terminal report and formal presentation that articulate technical achievements, insights gained, and overall professional growth.</t>
  </si>
  <si>
    <t>User Interface &amp; User Experience</t>
  </si>
  <si>
    <t>This course introduces the LabVIEW environment, its features, dataflow programming, and common LabVIEW architectures. This course is the fastest way to become productive with LabVIEW. It prepares the student to develop test and measurement, data acquisition, instrument control, data logging and measurement analysis applications using LabVIEW. The hands-on format of the course enables student to quickly apply skills learned in the course to your application.</t>
  </si>
  <si>
    <t>The course introduces the concepts and definitions of databases, the database environment, database design, development, database security and implementation as well as data warehouses. Students will have practical and hands-on experience in SQL (structured-query-language), which is generally used in the development of database applications as well as management of databases.</t>
  </si>
  <si>
    <t>Mobile Code Technologies and Application</t>
  </si>
  <si>
    <t>The course will focus on the fundamental concepts and techniques of mobile programming, design and development related to mobile applications. This will includes mobile operating system, device capabilities and coding techniques using android technology.</t>
  </si>
  <si>
    <t>TECHNICAL ELECTIVES</t>
  </si>
  <si>
    <t>None</t>
  </si>
  <si>
    <t>This course covers ecommerce websites, content management systems (CMS) and social networks. Common web development programming languages and software include Hypertext Markup Language (HTML), Cascading Style Sheets (CSS), JavaScript, PHP, Drupal and MySQL.</t>
  </si>
  <si>
    <t>This course covers programming language using C# as a software tool, in creating computer solutions and applications that can help solve engineering problems.</t>
  </si>
  <si>
    <t>The course includes building and management of a data warehouse application in an online environment, with emphasis on data accessibility using different computing devices, from the desktop to mobile.</t>
  </si>
  <si>
    <t>This course will cover the fundamentals and techniques of machine learning using statistics, linear algebra anf optimatization. Topics include supervised (generative/discrimative, support vector machine, etc.) and unsupervised learning (clustering, dimensionality reduction, etc), and reinforcement learning and adaptive control.</t>
  </si>
  <si>
    <t>Introduces the fundamental concepts and techniques in R/Python programming. Topics include different variable R/Python parameters Math, Strings and its methods, conditional and looping statements, Python structures, R/Python Algorithms and libraries by developing applications.</t>
  </si>
  <si>
    <t>The course will introduce neutral networks concepts and principles  using supervised learning, leinear models for regression, basic network structure, simple and motivation for deep networks. This will also include introduce to tensorflow, forward propagation, cost functions, error backpropagation, training by gradient descent, under/overfitting, convolutional and recurrent networks.</t>
  </si>
  <si>
    <t>Principles of Robotics System and Programming</t>
  </si>
  <si>
    <t>This course is an introduction to the fundamental concepts, theories, and principles of Robotics. This also includes Introduction to Robotics dynamics, systems and control, basic engineering problems, coordinate transformations, link coordinates, arm equations, kinematics and inverse kinematics, trajectory planning, jacobian concepts, lagrange-euler and SCARA dynamic models, single and multiple joint controller for robots and computed torque control.</t>
  </si>
  <si>
    <t>Introduction to Mobile Robotics</t>
  </si>
  <si>
    <r>
      <t>This </t>
    </r>
    <r>
      <rPr>
        <sz val="10"/>
        <color rgb="FF222222"/>
        <rFont val="Arial"/>
        <family val="2"/>
      </rPr>
      <t>course provides an introduction to the fundamentals of mobile robotics, examining the basic principles of locomotion, kinematics, sensing, perception, and cognition that are key to the development of autonomous mobile robots.</t>
    </r>
  </si>
  <si>
    <r>
      <t>This course will</t>
    </r>
    <r>
      <rPr>
        <sz val="10"/>
        <color rgb="FF222222"/>
        <rFont val="Arial"/>
        <family val="2"/>
      </rPr>
      <t> introduce the field of computer vision and the mathematics and algorithms that underpin it. This will also cover  interpreting images to determine the color, size, shape and position of objects in the scene.</t>
    </r>
  </si>
  <si>
    <t>NON - TECHNICAL COURSES</t>
  </si>
  <si>
    <t>SOCIAL SCIENCE</t>
  </si>
  <si>
    <t>Science, Technology and Society</t>
  </si>
  <si>
    <r>
      <t>The course deals with interactions between science and technology and social, cultural, political, and economic contexts that shape and are shaped by them. (CMO No. 20, series of 2013). This interdisciplinary course engages students to confront the realities brought about by science and technology in society. Such realities pervade the personal, the public, and the global aspects of our living and are integral to human development. Scientific knowledge and technological development happen in the context of society with all its socio-political, cultural, economic, and philosophical underpinnings at play. This course seeks to instill reflective knowledge in the students that they are able to live the good life and display ethical decision making in the face of scientific and technological advancement. This course includes mandatory topics on climate change and environmental awareness</t>
    </r>
    <r>
      <rPr>
        <sz val="10"/>
        <rFont val="Arial"/>
        <family val="2"/>
      </rPr>
      <t>.</t>
    </r>
  </si>
  <si>
    <t>Contemporary World</t>
  </si>
  <si>
    <t>This course introduces students to the contemporary world by examining the multifaceted phenomenon of globalization. Using the various disciplines of the social sciences, it examines the economic, social, political, technological, and other transformations that have created an increasing awareness of the interconnectedness of peoples and places around the globe. To this end, the course provides an overview of the various debates in global governance, development, and sustainability. Beyond exposing the student to the world outside the Philippines, it seeks to inculcate a sense of global citizenship and global ethical responsibility. This course includes mandatory topics on population education in the context of population and demography.</t>
  </si>
  <si>
    <t>The course deals with the nature of identity, as well as the factors and forces that affect the development and maintenance of personal identity. The directive to Know Oneself has inspired countless and varied ways to comply. Among the questions that everyone has had to grapple with at one time or other is 'Who am l?" At no other period is this question asked more urgently than in adolescence— traditionally believed to be a time of vulnerability and great possibilities. Issues of self and identity are among the most critical for the young. This course is intended to facilitate the exploration of the issues and concerns regarding self and identity to arrive at a better understanding of one's self. It strives to meet this goat by stressing the integration of the personal with the academic—contextualizing matters discussed in the classroom and in the everyday experiences of students—making for better learning, generating a new appreciation for the learning process, and developing a more critical and reflective attitude while enabling them to manage and improve their selves to attain a better quality of life. The course is divided into three major parts: The first part seeks to understand the construct of the self from various disciplinal perspectives: philosophy, sociology, anthropology, and psychology—as well as the more traditional division between the East and West—each seeking to provide answers to the difficult but essential question of "What is the self?" And raising, among others, the question: "Is there even such a construct as the self?"</t>
  </si>
  <si>
    <t>The second part explores some of the various aspects that make up the self, such as the biological and material up to and including the more recent Digital Self. The third and final part identifies three areas of concern for young students: learning, goal setting, and managing stress. It also provides for the more practical application of the concepts discussed in this course and enables them the hands-on experience of developing self-help plans for self-regulated learning, goal setting, and self care.</t>
  </si>
  <si>
    <t>. This course includes the mandatory topics on Family Planning and Population Education.</t>
  </si>
  <si>
    <t>Ethics</t>
  </si>
  <si>
    <t>Ethics deals with principles of ethical behavior in modern society at the level of the person, society, and in interaction with the environment and other shared resources. (CMO 20 s 2013). Morality pertains to the standards of right and wrong that an individual originally picks up from the community. The course discusses the context and principles of ethical behavior in modern society at the level of individual, society, and in interaction with the environment and other shared resources. The course also teaches students to make moral decisions by using dominant moral frameworks and by applying a seven-step moral reasoning model to analyze and solve moral dilemmas.  The course is organized according to the three (3) main elements of the moral experience: (a) agent, including context — cultural, communal, and environmental; (b) the act; and (c) reason or framework (for the act).</t>
  </si>
  <si>
    <t>Philippine History</t>
  </si>
  <si>
    <t>The course aims to expose students to different facets of Philippine history through the lens of eyewitnesses. Rather than rely on secondary materials such as textbooks, which is the usual approach in teaching Philippine history, different types of primary sources will be used — written (qualitative and quantitative), oral, visual, audio-visual digital — covering various aspects of Philippine life (political, economic, social, cultural). Students are expected to analyze the selected readings contextually and in terms of content (stated and implied). The end goal is to enable students to understand and appreciate our rich past by deriving insights from those who were actually present at the time of the event.</t>
  </si>
  <si>
    <t>Art Appreciation is a three-unit course that develops students' ability to appreciate, analyze, and critique works of art. Through interdisciplinary and multimodal approaches this course equips students with a broad knowledge of the practical, historical, philosophical, and social relevance of the arts in order to hone students' ability to articulate their understanding of the arts. The course also develops students' competency in researching and curating art as well as conceptualizing, mounting, and evaluating art productions. The course aims to develop students' genuine appreciation for Philippine arts by providing them opportunities to explore the diversity and richness and their rootedness in Filipino culture.</t>
  </si>
  <si>
    <t>Purposive Communication</t>
  </si>
  <si>
    <t>Purposive Communication is a three-unit course that develops students' communicative competence and enhances their cultural and intercultural awareness through multimodal tasks that provide them opportunities for communicating effectively and appropriately to a multicultural audience in a local or global context. It equips students with tools for critical evaluation of a variety of texts and focuses on the power of language and the impact of images to emphasize the importance of conveying messages responsibly. The knowledge, skills, and insights that students gain from this course may be used in their other academic endeavors, their chosen disciplines, and their future careers as they compose and produce relevant oral, written, audio-visual and/or web-based output for various purposes.</t>
  </si>
  <si>
    <t>MANDATED COURSE</t>
  </si>
  <si>
    <t>A comprehensive study and analysis of the life and literary works of Jose Rizal with an emphasis on its impact and relevance to the upliftment of present Philippine society.</t>
  </si>
  <si>
    <t>GEC ELECTIVES</t>
  </si>
  <si>
    <t>Extensive Communication Competency Program 1</t>
  </si>
  <si>
    <t>Topics covered in EXCOMP1 broadly include various social issues that are related to the students’ interests. However, a common theme will be observed in the process of instruction as deemed relevant to the student’s program. It primarily focuses on enhancing the students’ listening/observation, presentation, and critical thinking skills. This course prepares the students for their research-related courses as it aims at increasing their engagement in discussions about various social issues that are also potential research subject matter.</t>
  </si>
  <si>
    <t>Extensive Communication Competency Program 2</t>
  </si>
  <si>
    <t>Topics covered in EXCOMP2 focus on Organizational Communication with lessons on Project Management Communication. The students’ program/discipline serves as the primary basis for the theme in the process of instruction. It primarily aims on enhancing the students’ ability to navigate through the various workplace scenarios that require critical communication skills. This course prepares the students for their internship and employment after graduation.</t>
  </si>
  <si>
    <t>This course focuses on the study of current ethical standards of business professionals. Participants engage in ethical and legal issues in a variety of settings that they may encounter in the course of their professional careers. Students examine ethical cases and present potential decisions according to ethical decision-making models.</t>
  </si>
  <si>
    <t>LANGUAGE COURSE</t>
  </si>
  <si>
    <t>FORLANG</t>
  </si>
  <si>
    <t>Foreign Language</t>
  </si>
  <si>
    <t>This course will introduce the basic knowledge and skills of language of an identified country (e.g. Nihonngo, Mandarin, French, Spanish, etc.). The will focus on the beginning levels of fluency in communicating of a specific language.</t>
  </si>
  <si>
    <t>PHYSICAL EDUCATION</t>
  </si>
  <si>
    <t>PE 1</t>
  </si>
  <si>
    <t>A course exposing students to fundamental importance and application of physical fitness in 
skill execution as well as playing individual dual sports according to the rules.</t>
  </si>
  <si>
    <t>PE 2</t>
  </si>
  <si>
    <t>A course exposing students to the rudiments of social ballroom dancing, folk dances, modern dances and recreational dances. Students express their feelings and emotions through movements disciplined by rhythm.</t>
  </si>
  <si>
    <t>PE 3</t>
  </si>
  <si>
    <t>A course exposing students in playing team sports, in enhancing fundamental skills, and in 
basic rules of the  game.</t>
  </si>
  <si>
    <t>PE 4</t>
  </si>
  <si>
    <t>A course exposing students to recreational activities  in the form of Bowling and /or Ice skating held in areas offering recreational and amusement facilities outside of the school premises.</t>
  </si>
  <si>
    <t>NATIONAL SERVICE TRAINING PROGRAM</t>
  </si>
  <si>
    <t>National Service 1</t>
  </si>
  <si>
    <t>National Service aims to develop camaraderie and fellowship by participating in various socio/ economic/ political events and projects.</t>
  </si>
  <si>
    <t>National Service 2</t>
  </si>
  <si>
    <t>School of Engineering</t>
  </si>
  <si>
    <t>BS in COMPUTER ENGINEERING (BS CpE) CURRICULUM</t>
  </si>
  <si>
    <t>(Curriculum Flowchart 2026 : 1-2026-CpE-A)</t>
  </si>
  <si>
    <t>First Term</t>
  </si>
  <si>
    <t>Subject Code</t>
  </si>
  <si>
    <t>Subject</t>
  </si>
  <si>
    <t>Units</t>
  </si>
  <si>
    <t>Pre-requisites</t>
  </si>
  <si>
    <t>Subtotal Units</t>
  </si>
  <si>
    <t>Second Term</t>
  </si>
  <si>
    <t>Third Term</t>
  </si>
  <si>
    <t>Numerical Methods; Fundamentals of Electrical Circuits</t>
  </si>
  <si>
    <t>Engineering Data Analysis; Purposive Communicaton; Logic Circuit and Design Lecture / 
Logic Circuit and Design Laboratory</t>
  </si>
  <si>
    <t>Programming Logic and Design; Fundamentals of Electronics Circuit Lecture / Fundamentals of Electronics Circuit Laboratory</t>
  </si>
  <si>
    <t>3rd Year Standing</t>
  </si>
  <si>
    <t>Data and Digital Communicatoins</t>
  </si>
  <si>
    <t>Methods of Research; Microprocessors Lecture / 
Microprocessors Laboratory</t>
  </si>
  <si>
    <t>4th Year Standing</t>
  </si>
  <si>
    <t>Internship 1: Foundational Professional Practice</t>
  </si>
  <si>
    <t>Internship 2: Intermediate Responsibility</t>
  </si>
  <si>
    <t>Internship 3: Industry Synthesis</t>
  </si>
  <si>
    <t>I. Technical Courses</t>
  </si>
  <si>
    <t>B. Natural / Physical Sciences</t>
  </si>
  <si>
    <t>D. Allied Courses</t>
  </si>
  <si>
    <t>E. Professional Courses</t>
  </si>
  <si>
    <t>II.. Non-technical Courses</t>
  </si>
  <si>
    <t>A. General Education Courses</t>
  </si>
  <si>
    <t>B. GEC Electives/Mandated Courses</t>
  </si>
  <si>
    <t>C. Physical Education</t>
  </si>
  <si>
    <t>D. NSTP</t>
  </si>
  <si>
    <t>Total</t>
  </si>
  <si>
    <t xml:space="preserve">Curriculum Map </t>
  </si>
  <si>
    <t>Map Legend</t>
  </si>
  <si>
    <t>Code</t>
  </si>
  <si>
    <t>Mathematics</t>
  </si>
  <si>
    <t>a</t>
  </si>
  <si>
    <t>b</t>
  </si>
  <si>
    <t>c</t>
  </si>
  <si>
    <t>d</t>
  </si>
  <si>
    <t>e</t>
  </si>
  <si>
    <t>f</t>
  </si>
  <si>
    <t>g</t>
  </si>
  <si>
    <t>h</t>
  </si>
  <si>
    <t>i</t>
  </si>
  <si>
    <t>j</t>
  </si>
  <si>
    <t>k</t>
  </si>
  <si>
    <t>l</t>
  </si>
  <si>
    <t>m</t>
  </si>
  <si>
    <t>Course Classification</t>
  </si>
  <si>
    <t>M-01</t>
  </si>
  <si>
    <t>I</t>
  </si>
  <si>
    <t>M-XX</t>
  </si>
  <si>
    <t xml:space="preserve">Mathematics </t>
  </si>
  <si>
    <t>M-02</t>
  </si>
  <si>
    <t>S-XX</t>
  </si>
  <si>
    <t>Natural or Physical Science</t>
  </si>
  <si>
    <t>M-03</t>
  </si>
  <si>
    <t>L-XX</t>
  </si>
  <si>
    <t>Laboratory Course</t>
  </si>
  <si>
    <t>M-04</t>
  </si>
  <si>
    <t>E-XX</t>
  </si>
  <si>
    <t>Engineering  Science</t>
  </si>
  <si>
    <t>A-XX</t>
  </si>
  <si>
    <t>Allied</t>
  </si>
  <si>
    <t>Natural/Physical Sciences</t>
  </si>
  <si>
    <t>P-XX</t>
  </si>
  <si>
    <t>Professional</t>
  </si>
  <si>
    <t>S-01</t>
  </si>
  <si>
    <t>Chemistry for Engineers Lecture</t>
  </si>
  <si>
    <t>G-XX</t>
  </si>
  <si>
    <t>GE Courses</t>
  </si>
  <si>
    <t>L-01</t>
  </si>
  <si>
    <t>I-XX</t>
  </si>
  <si>
    <t>Institutional</t>
  </si>
  <si>
    <t>S-02</t>
  </si>
  <si>
    <t>Physics for Engineers Lecture</t>
  </si>
  <si>
    <t xml:space="preserve">Note: </t>
  </si>
  <si>
    <t>Please delete any extra outcome column</t>
  </si>
  <si>
    <t>L-02</t>
  </si>
  <si>
    <t>Physics for Engineers Laboratory</t>
  </si>
  <si>
    <t>Descriptor</t>
  </si>
  <si>
    <t>Introductory Course</t>
  </si>
  <si>
    <t>E</t>
  </si>
  <si>
    <t>Enabling Course</t>
  </si>
  <si>
    <t>Basic Engineering Sciences</t>
  </si>
  <si>
    <t>D</t>
  </si>
  <si>
    <t>Demonstrative Course</t>
  </si>
  <si>
    <t>L-03</t>
  </si>
  <si>
    <t>Computer-Aided Drafting</t>
  </si>
  <si>
    <t>Definition</t>
  </si>
  <si>
    <t>B-01</t>
  </si>
  <si>
    <t>An introductory  course to an outcome</t>
  </si>
  <si>
    <t>B-02</t>
  </si>
  <si>
    <t>A course that  strengthens the outcome</t>
  </si>
  <si>
    <t>A course demonstrating an outcome</t>
  </si>
  <si>
    <t>Allied Courses</t>
  </si>
  <si>
    <t>A-01</t>
  </si>
  <si>
    <t>Fundamental of Electrical Circuits Lecture</t>
  </si>
  <si>
    <t>L-04</t>
  </si>
  <si>
    <t>Fundamental of Electrical Circuits Laboratory</t>
  </si>
  <si>
    <t>A-02</t>
  </si>
  <si>
    <t>Fundamentals of Electronic Circuits Lecture</t>
  </si>
  <si>
    <t>L-05</t>
  </si>
  <si>
    <t>Professional Courses</t>
  </si>
  <si>
    <t>P-01</t>
  </si>
  <si>
    <t>P-02</t>
  </si>
  <si>
    <t>P-03</t>
  </si>
  <si>
    <t>P-04</t>
  </si>
  <si>
    <t>L-06</t>
  </si>
  <si>
    <t>L-07</t>
  </si>
  <si>
    <t>L-08</t>
  </si>
  <si>
    <t>L-09</t>
  </si>
  <si>
    <t>P-05</t>
  </si>
  <si>
    <t>Software Design Lecture</t>
  </si>
  <si>
    <t>L-10</t>
  </si>
  <si>
    <t>P-06</t>
  </si>
  <si>
    <t>Microprocessors Lecture</t>
  </si>
  <si>
    <t>L-11</t>
  </si>
  <si>
    <t>P-07</t>
  </si>
  <si>
    <t>Logic Circuits and Design Lecture</t>
  </si>
  <si>
    <t>L-12</t>
  </si>
  <si>
    <t>P-08</t>
  </si>
  <si>
    <t>P-09</t>
  </si>
  <si>
    <t>P-10</t>
  </si>
  <si>
    <t>Computer Architecture and Organization Lecture</t>
  </si>
  <si>
    <t>L-13</t>
  </si>
  <si>
    <t>P-11</t>
  </si>
  <si>
    <t>P-12</t>
  </si>
  <si>
    <t>Computer Networks and Security Lecture</t>
  </si>
  <si>
    <t>L-14</t>
  </si>
  <si>
    <t>P-13</t>
  </si>
  <si>
    <t>Embedded Systems Lecture</t>
  </si>
  <si>
    <t>L-15</t>
  </si>
  <si>
    <t>P-14</t>
  </si>
  <si>
    <t>Digital Signal Processing Lecture</t>
  </si>
  <si>
    <t>L-16</t>
  </si>
  <si>
    <t>P-15</t>
  </si>
  <si>
    <t>L-17</t>
  </si>
  <si>
    <t>L-18</t>
  </si>
  <si>
    <t>P-16</t>
  </si>
  <si>
    <t>P-17</t>
  </si>
  <si>
    <t>P-18</t>
  </si>
  <si>
    <t>Emerging Technologies in CpE (Robotics Process Automation)</t>
  </si>
  <si>
    <t>L-19</t>
  </si>
  <si>
    <t>L-20</t>
  </si>
  <si>
    <t>L-21</t>
  </si>
  <si>
    <t>L-22</t>
  </si>
  <si>
    <t>L-23</t>
  </si>
  <si>
    <t>L-24</t>
  </si>
  <si>
    <t xml:space="preserve">User Interface/User Experience </t>
  </si>
  <si>
    <t>L-25</t>
  </si>
  <si>
    <t xml:space="preserve">Database Management System Laboratory </t>
  </si>
  <si>
    <t>Mobile Coding and Application Development</t>
  </si>
  <si>
    <t>P-24</t>
  </si>
  <si>
    <t>CPEGM1-Fundamentals of Machine Learning</t>
  </si>
  <si>
    <t>P-25</t>
  </si>
  <si>
    <t>CPECGM2- R Programming</t>
  </si>
  <si>
    <t>P-26</t>
  </si>
  <si>
    <t>CPECGM3- Neural Network</t>
  </si>
  <si>
    <t>P-27</t>
  </si>
  <si>
    <t>CPECGS1-Web Programming and Development</t>
  </si>
  <si>
    <t>P-28</t>
  </si>
  <si>
    <t>CPECGS2- Python/C# Programming</t>
  </si>
  <si>
    <t>P-29</t>
  </si>
  <si>
    <t>CPECGS3- Online Technology (Cloud Computing)</t>
  </si>
  <si>
    <t>P-30</t>
  </si>
  <si>
    <t>CPECGR1- Principles of Robotics</t>
  </si>
  <si>
    <t>P-31</t>
  </si>
  <si>
    <t>CPECGR3- Mobile Robotics Application</t>
  </si>
  <si>
    <t>P-32</t>
  </si>
  <si>
    <t>CPECGR3- Robot Vision</t>
  </si>
  <si>
    <t>General Education/Mandated</t>
  </si>
  <si>
    <t>G-01</t>
  </si>
  <si>
    <t>G-02</t>
  </si>
  <si>
    <t>G-03</t>
  </si>
  <si>
    <t>G-04</t>
  </si>
  <si>
    <t>G-05</t>
  </si>
  <si>
    <t>G-06</t>
  </si>
  <si>
    <t>G-07</t>
  </si>
  <si>
    <t>Mathematics in the Modern World</t>
  </si>
  <si>
    <t>G-08</t>
  </si>
  <si>
    <t>G-09</t>
  </si>
  <si>
    <t>GE Elective 1: Extensive Communicaion Competency Program 1</t>
  </si>
  <si>
    <t>G-10</t>
  </si>
  <si>
    <t>GE Elective 2: Extensive Communicaion Competency Program 2</t>
  </si>
  <si>
    <t>G-11</t>
  </si>
  <si>
    <t>GE Elective 3: Professional Ethics</t>
  </si>
  <si>
    <t>G-12</t>
  </si>
  <si>
    <t xml:space="preserve">Life. Works of Jose Rizal </t>
  </si>
  <si>
    <t>G-13</t>
  </si>
  <si>
    <t xml:space="preserve">P.E. 1 </t>
  </si>
  <si>
    <t>G-14</t>
  </si>
  <si>
    <t>P.E. 2</t>
  </si>
  <si>
    <t>G-15</t>
  </si>
  <si>
    <t>P.E. 3</t>
  </si>
  <si>
    <t>G-16</t>
  </si>
  <si>
    <t>P.E. 4</t>
  </si>
  <si>
    <t>G-17</t>
  </si>
  <si>
    <t>G-18</t>
  </si>
  <si>
    <r>
      <t xml:space="preserve">Comparison of CMO </t>
    </r>
    <r>
      <rPr>
        <b/>
        <sz val="14"/>
        <color indexed="10"/>
        <rFont val="Arial"/>
        <family val="2"/>
      </rPr>
      <t>87 S. 2017</t>
    </r>
    <r>
      <rPr>
        <b/>
        <sz val="14"/>
        <rFont val="Arial"/>
        <family val="2"/>
      </rPr>
      <t xml:space="preserve"> and APC Proposed BS in Computer Engineering Curriculum</t>
    </r>
    <r>
      <rPr>
        <sz val="14"/>
        <rFont val="Arial"/>
        <family val="2"/>
      </rPr>
      <t xml:space="preserve"> </t>
    </r>
  </si>
  <si>
    <t>CHEd CMO. 87 s. 2017 (BS CpE)</t>
  </si>
  <si>
    <t xml:space="preserve">APC BS CpE AY 2018-2019 </t>
  </si>
  <si>
    <t xml:space="preserve">APC BS CpE AY 2020-2021 </t>
  </si>
  <si>
    <t>Classification/Field/Course</t>
  </si>
  <si>
    <t>Minimum Hours/ week</t>
  </si>
  <si>
    <t>Minimum Credit Units</t>
  </si>
  <si>
    <t>Credit Units</t>
  </si>
  <si>
    <t>Lecture</t>
  </si>
  <si>
    <t>Laboratory</t>
  </si>
  <si>
    <t>Sub-Total</t>
  </si>
  <si>
    <t>IT Concept</t>
  </si>
  <si>
    <t>Fundamental of Electrical Circuits</t>
  </si>
  <si>
    <t>1. Core Courses</t>
  </si>
  <si>
    <t xml:space="preserve">On the Job Training (240 hours) </t>
  </si>
  <si>
    <t>Graphical Systems Design</t>
  </si>
  <si>
    <t>User Interface and  User Experience</t>
  </si>
  <si>
    <t>Business Field</t>
  </si>
  <si>
    <t>Special Topics for CpE</t>
  </si>
  <si>
    <t>Mobile Coding Technology and Application</t>
  </si>
  <si>
    <t>2. Technical Elective</t>
  </si>
  <si>
    <t>Cognate/Track Course 1</t>
  </si>
  <si>
    <t>Cognate/Track Course 2</t>
  </si>
  <si>
    <t>Cognate/Track Course 3</t>
  </si>
  <si>
    <t>Science, Technology, &amp; Society</t>
  </si>
  <si>
    <t>Understanding the self</t>
  </si>
  <si>
    <t>Understanding the self (Values Education)</t>
  </si>
  <si>
    <t>Creativity in Engineering Design</t>
  </si>
  <si>
    <t>Purposive Communication (OCCP Series)</t>
  </si>
  <si>
    <t>Mathematics for Engineers</t>
  </si>
  <si>
    <t>Applied Project 1</t>
  </si>
  <si>
    <t>GEC Elective 1</t>
  </si>
  <si>
    <t>Expository Communicaion 1 - World Literature</t>
  </si>
  <si>
    <t>GEC Elective 2</t>
  </si>
  <si>
    <t>Expository Communicaion 2 - Tehnical Writing and Presentation</t>
  </si>
  <si>
    <t>GEC Elective 3</t>
  </si>
  <si>
    <t>Filipino 1</t>
  </si>
  <si>
    <t>Filipino 2</t>
  </si>
  <si>
    <t>Life &amp; Works of Rizal</t>
  </si>
  <si>
    <t>P.E. 1</t>
  </si>
  <si>
    <t>GRAND TOTAL</t>
  </si>
  <si>
    <t>INTERNSHIP</t>
  </si>
  <si>
    <t>DATABASE</t>
  </si>
  <si>
    <t>ROBPROA, GRAPHYS, MOBCAPP</t>
  </si>
  <si>
    <t>ITCONCE, APPROJ1</t>
  </si>
  <si>
    <t>CHED Reqt</t>
  </si>
  <si>
    <t>DBMS</t>
  </si>
  <si>
    <r>
      <t>Comparison of CMO 24 s2008 and APC Proposed BS in Electronics Engineering Curriculum</t>
    </r>
    <r>
      <rPr>
        <sz val="12"/>
        <rFont val="Arial"/>
        <family val="2"/>
      </rPr>
      <t xml:space="preserve"> </t>
    </r>
    <r>
      <rPr>
        <b/>
        <i/>
        <sz val="10"/>
        <rFont val="Arial"/>
        <family val="2"/>
      </rPr>
      <t>(Software Development/Machine Learning/Robotics TechnologyTrack)</t>
    </r>
  </si>
  <si>
    <t>CMO 87 s. 2017</t>
  </si>
  <si>
    <t>APC BS CPE AY 2020-2021</t>
  </si>
  <si>
    <t>D. Rizal's Life, Works and Writings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</si>
</sst>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0"/>
      <name val="Arial"/>
      <family val="2"/>
    </font>
    <font>
      <b/>
      <sz val="12"/>
      <name val="Arial"/>
      <family val="2"/>
    </font>
    <font>
      <b/>
      <sz val="10"/>
      <name val="Arial"/>
      <family val="2"/>
    </font>
    <font>
      <b/>
      <i/>
      <sz val="10"/>
      <name val="Arial"/>
      <family val="2"/>
    </font>
    <font>
      <i/>
      <sz val="10"/>
      <name val="Arial"/>
      <family val="2"/>
    </font>
    <font>
      <sz val="10"/>
      <name val="Arial"/>
      <family val="2"/>
    </font>
    <font>
      <b/>
      <sz val="11"/>
      <name val="Arial"/>
      <family val="2"/>
    </font>
    <font>
      <b/>
      <sz val="11"/>
      <color indexed="8"/>
      <name val="Arial"/>
      <family val="2"/>
    </font>
    <font>
      <b/>
      <sz val="18"/>
      <name val="Arial"/>
      <family val="2"/>
    </font>
    <font>
      <b/>
      <sz val="16"/>
      <name val="Arial"/>
      <family val="2"/>
    </font>
    <font>
      <sz val="12"/>
      <name val="Arial"/>
      <family val="2"/>
    </font>
    <font>
      <b/>
      <sz val="14"/>
      <name val="Arial"/>
      <family val="2"/>
    </font>
    <font>
      <sz val="14"/>
      <name val="Arial"/>
      <family val="2"/>
    </font>
    <font>
      <b/>
      <sz val="14"/>
      <color indexed="10"/>
      <name val="Arial"/>
      <family val="2"/>
    </font>
    <font>
      <sz val="6"/>
      <name val="Arial"/>
      <family val="2"/>
    </font>
    <font>
      <b/>
      <sz val="6"/>
      <name val="Arial"/>
      <family val="2"/>
    </font>
    <font>
      <sz val="11"/>
      <name val="Arial"/>
      <family val="2"/>
    </font>
    <font>
      <sz val="16"/>
      <name val="Arial"/>
      <family val="2"/>
    </font>
    <font>
      <sz val="8"/>
      <color theme="1"/>
      <name val="Arial"/>
      <family val="2"/>
    </font>
    <font>
      <b/>
      <sz val="11"/>
      <color theme="1"/>
      <name val="Arial"/>
      <family val="2"/>
    </font>
    <font>
      <sz val="7"/>
      <color theme="1"/>
      <name val="Arial"/>
      <family val="2"/>
    </font>
    <font>
      <i/>
      <sz val="9"/>
      <color theme="1"/>
      <name val="Arial"/>
      <family val="2"/>
    </font>
    <font>
      <sz val="9"/>
      <color theme="1"/>
      <name val="Arial"/>
      <family val="2"/>
    </font>
    <font>
      <i/>
      <sz val="8"/>
      <color theme="1"/>
      <name val="Arial"/>
      <family val="2"/>
    </font>
    <font>
      <sz val="6"/>
      <color theme="1"/>
      <name val="Arial"/>
      <family val="2"/>
    </font>
    <font>
      <b/>
      <sz val="6"/>
      <color theme="1"/>
      <name val="Arial"/>
      <family val="2"/>
    </font>
    <font>
      <sz val="6"/>
      <color theme="0"/>
      <name val="Arial"/>
      <family val="2"/>
    </font>
    <font>
      <i/>
      <sz val="6"/>
      <color theme="1"/>
      <name val="Arial"/>
      <family val="2"/>
    </font>
    <font>
      <sz val="10"/>
      <color rgb="FFFF0000"/>
      <name val="Arial"/>
      <family val="2"/>
    </font>
    <font>
      <b/>
      <sz val="10"/>
      <color theme="0"/>
      <name val="Arial"/>
      <family val="2"/>
    </font>
    <font>
      <sz val="10"/>
      <color rgb="FF000000"/>
      <name val="Arial"/>
      <family val="2"/>
    </font>
    <font>
      <sz val="9"/>
      <color rgb="FF000000"/>
      <name val="Arial"/>
      <family val="2"/>
    </font>
    <font>
      <b/>
      <sz val="10"/>
      <color theme="1"/>
      <name val="Arial"/>
      <family val="2"/>
    </font>
    <font>
      <b/>
      <sz val="12"/>
      <color theme="0"/>
      <name val="Arial"/>
      <family val="2"/>
    </font>
    <font>
      <b/>
      <sz val="10"/>
      <color rgb="FF000000"/>
      <name val="Arial"/>
      <family val="2"/>
    </font>
    <font>
      <sz val="10"/>
      <color rgb="FF222222"/>
      <name val="Arial"/>
      <family val="2"/>
    </font>
    <font>
      <sz val="8"/>
      <name val="Arial"/>
      <family val="2"/>
    </font>
    <font>
      <sz val="72"/>
      <name val="Arial"/>
      <family val="2"/>
    </font>
    <font>
      <b/>
      <sz val="20"/>
      <name val="Arial"/>
      <family val="2"/>
    </font>
    <font>
      <b/>
      <sz val="14"/>
      <color rgb="FF000000"/>
      <name val="Arial"/>
      <family val="2"/>
    </font>
    <font>
      <b/>
      <sz val="9"/>
      <color rgb="FF000000"/>
      <name val="Arial"/>
      <family val="2"/>
    </font>
    <font>
      <b/>
      <sz val="11"/>
      <color rgb="FF000000"/>
      <name val="Arial"/>
      <family val="2"/>
    </font>
    <font>
      <b/>
      <sz val="7"/>
      <color rgb="FF000000"/>
      <name val="Arial"/>
      <family val="2"/>
    </font>
    <font>
      <b/>
      <sz val="7"/>
      <color rgb="FFFFFFFF"/>
      <name val="Arial"/>
      <family val="2"/>
    </font>
    <font>
      <sz val="7"/>
      <name val="Arial"/>
      <family val="2"/>
    </font>
    <font>
      <b/>
      <i/>
      <sz val="7"/>
      <color rgb="FF000000"/>
      <name val="Arial"/>
      <family val="2"/>
    </font>
    <font>
      <b/>
      <i/>
      <sz val="7"/>
      <name val="Arial"/>
      <family val="2"/>
    </font>
    <font>
      <sz val="9"/>
      <name val="Arial"/>
      <family val="2"/>
    </font>
    <font>
      <b/>
      <sz val="7"/>
      <name val="Arial"/>
      <family val="2"/>
    </font>
    <font>
      <sz val="12"/>
      <name val="Times New Roman"/>
      <family val="1"/>
    </font>
    <font>
      <b/>
      <sz val="11"/>
      <color theme="1"/>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b/>
      <sz val="11"/>
      <name val="Calibri"/>
      <family val="2"/>
      <scheme val="minor"/>
    </font>
    <font>
      <b/>
      <sz val="12"/>
      <color theme="0"/>
      <name val="Calibri"/>
      <family val="2"/>
      <scheme val="minor"/>
    </font>
    <font>
      <b/>
      <sz val="12"/>
      <color rgb="FFFF0000"/>
      <name val="Calibri"/>
      <family val="2"/>
      <scheme val="minor"/>
    </font>
    <font>
      <b/>
      <sz val="12"/>
      <name val="Calibri"/>
      <family val="2"/>
      <scheme val="minor"/>
    </font>
  </fonts>
  <fills count="41">
    <fill>
      <patternFill patternType="none"/>
    </fill>
    <fill>
      <patternFill patternType="gray125"/>
    </fill>
    <fill>
      <patternFill patternType="solid">
        <fgColor indexed="41"/>
        <bgColor indexed="64"/>
      </patternFill>
    </fill>
    <fill>
      <patternFill patternType="solid">
        <fgColor indexed="45"/>
        <bgColor indexed="64"/>
      </patternFill>
    </fill>
    <fill>
      <patternFill patternType="solid">
        <fgColor indexed="10"/>
        <bgColor indexed="64"/>
      </patternFill>
    </fill>
    <fill>
      <patternFill patternType="solid">
        <fgColor indexed="52"/>
        <bgColor indexed="64"/>
      </patternFill>
    </fill>
    <fill>
      <patternFill patternType="solid">
        <fgColor indexed="47"/>
        <bgColor indexed="64"/>
      </patternFill>
    </fill>
    <fill>
      <patternFill patternType="solid">
        <fgColor indexed="53"/>
        <bgColor indexed="64"/>
      </patternFill>
    </fill>
    <fill>
      <patternFill patternType="solid">
        <fgColor indexed="57"/>
        <bgColor indexed="64"/>
      </patternFill>
    </fill>
    <fill>
      <patternFill patternType="solid">
        <fgColor indexed="48"/>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0"/>
        <bgColor indexed="64"/>
      </patternFill>
    </fill>
    <fill>
      <patternFill patternType="solid">
        <fgColor indexed="22"/>
        <bgColor indexed="64"/>
      </patternFill>
    </fill>
    <fill>
      <patternFill patternType="solid">
        <fgColor indexed="11"/>
        <bgColor indexed="64"/>
      </patternFill>
    </fill>
    <fill>
      <patternFill patternType="solid">
        <fgColor theme="0"/>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6"/>
        <bgColor indexed="64"/>
      </patternFill>
    </fill>
    <fill>
      <patternFill patternType="solid">
        <fgColor theme="9" tint="-0.49998474074526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0.499984740745262"/>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00000"/>
        <bgColor indexed="64"/>
      </patternFill>
    </fill>
    <fill>
      <patternFill patternType="solid">
        <fgColor rgb="FFFFFF00"/>
        <bgColor indexed="64"/>
      </patternFill>
    </fill>
    <fill>
      <patternFill patternType="solid">
        <fgColor rgb="FFFFC000"/>
        <bgColor indexed="64"/>
      </patternFill>
    </fill>
    <fill>
      <patternFill patternType="solid">
        <fgColor theme="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6" tint="0.79998168889431442"/>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64"/>
      </bottom>
      <diagonal/>
    </border>
    <border>
      <left style="medium">
        <color indexed="64"/>
      </left>
      <right style="thin">
        <color indexed="8"/>
      </right>
      <top style="thin">
        <color indexed="8"/>
      </top>
      <bottom style="medium">
        <color indexed="64"/>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ck">
        <color indexed="64"/>
      </top>
      <bottom/>
      <diagonal/>
    </border>
    <border>
      <left style="thin">
        <color indexed="64"/>
      </left>
      <right style="thin">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bottom style="medium">
        <color rgb="FF000000"/>
      </bottom>
      <diagonal/>
    </border>
    <border>
      <left style="medium">
        <color rgb="FF000000"/>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1">
    <xf numFmtId="0" fontId="0" fillId="0" borderId="0"/>
  </cellStyleXfs>
  <cellXfs count="707">
    <xf numFmtId="0" fontId="0" fillId="0" borderId="0" xfId="0"/>
    <xf numFmtId="0" fontId="0" fillId="0" borderId="1" xfId="0" applyBorder="1"/>
    <xf numFmtId="0" fontId="0" fillId="0" borderId="2" xfId="0" applyBorder="1"/>
    <xf numFmtId="0" fontId="0" fillId="0" borderId="1" xfId="0" applyBorder="1" applyAlignment="1">
      <alignment horizontal="center"/>
    </xf>
    <xf numFmtId="0" fontId="1" fillId="2" borderId="3" xfId="0" applyFont="1" applyFill="1" applyBorder="1" applyAlignment="1">
      <alignment horizontal="center"/>
    </xf>
    <xf numFmtId="0" fontId="0" fillId="2" borderId="1" xfId="0" applyFill="1" applyBorder="1"/>
    <xf numFmtId="0" fontId="1" fillId="0" borderId="4" xfId="0" applyFont="1" applyBorder="1" applyAlignment="1">
      <alignment horizontal="center" vertical="center"/>
    </xf>
    <xf numFmtId="0" fontId="1" fillId="0" borderId="5" xfId="0" applyFont="1" applyBorder="1" applyAlignment="1">
      <alignment horizontal="center"/>
    </xf>
    <xf numFmtId="0" fontId="2" fillId="2" borderId="6" xfId="0" applyFont="1" applyFill="1" applyBorder="1"/>
    <xf numFmtId="0" fontId="2" fillId="3" borderId="6" xfId="0" applyFont="1" applyFill="1" applyBorder="1"/>
    <xf numFmtId="0" fontId="0" fillId="0" borderId="6" xfId="0" applyBorder="1"/>
    <xf numFmtId="0" fontId="4" fillId="0" borderId="6" xfId="0" applyFont="1" applyBorder="1" applyAlignment="1">
      <alignment horizontal="right"/>
    </xf>
    <xf numFmtId="0" fontId="2" fillId="4" borderId="6" xfId="0" applyFont="1" applyFill="1" applyBorder="1"/>
    <xf numFmtId="0" fontId="2" fillId="5" borderId="6" xfId="0" applyFont="1" applyFill="1" applyBorder="1"/>
    <xf numFmtId="0" fontId="2" fillId="6" borderId="6" xfId="0" applyFont="1" applyFill="1" applyBorder="1"/>
    <xf numFmtId="0" fontId="2" fillId="0" borderId="6" xfId="0" applyFont="1" applyBorder="1"/>
    <xf numFmtId="0" fontId="2" fillId="7" borderId="6" xfId="0" applyFont="1" applyFill="1" applyBorder="1"/>
    <xf numFmtId="0" fontId="2" fillId="8" borderId="6" xfId="0" applyFont="1" applyFill="1" applyBorder="1"/>
    <xf numFmtId="0" fontId="2" fillId="9" borderId="6" xfId="0" applyFont="1" applyFill="1" applyBorder="1" applyAlignment="1">
      <alignment horizontal="left"/>
    </xf>
    <xf numFmtId="0" fontId="5" fillId="0" borderId="6" xfId="0" applyFont="1" applyBorder="1" applyAlignment="1">
      <alignment horizontal="left"/>
    </xf>
    <xf numFmtId="0" fontId="5" fillId="10" borderId="6" xfId="0" applyFont="1" applyFill="1" applyBorder="1" applyAlignment="1">
      <alignment horizontal="left"/>
    </xf>
    <xf numFmtId="0" fontId="2" fillId="11" borderId="6" xfId="0" applyFont="1" applyFill="1" applyBorder="1"/>
    <xf numFmtId="0" fontId="1" fillId="0" borderId="7" xfId="0" applyFont="1" applyBorder="1" applyAlignment="1">
      <alignment horizontal="center" vertical="center" wrapText="1"/>
    </xf>
    <xf numFmtId="0" fontId="0" fillId="2" borderId="8" xfId="0" applyFill="1" applyBorder="1"/>
    <xf numFmtId="0" fontId="1" fillId="12" borderId="3" xfId="0" applyFont="1" applyFill="1" applyBorder="1" applyAlignment="1">
      <alignment horizontal="center"/>
    </xf>
    <xf numFmtId="0" fontId="0" fillId="12" borderId="1" xfId="0" applyFill="1" applyBorder="1"/>
    <xf numFmtId="0" fontId="1" fillId="0" borderId="9" xfId="0" applyFont="1" applyBorder="1" applyAlignment="1">
      <alignment horizontal="center" vertical="center"/>
    </xf>
    <xf numFmtId="0" fontId="0" fillId="12" borderId="2" xfId="0" applyFill="1" applyBorder="1"/>
    <xf numFmtId="0" fontId="2" fillId="13" borderId="6" xfId="0" applyFont="1" applyFill="1" applyBorder="1"/>
    <xf numFmtId="0" fontId="0" fillId="2" borderId="1" xfId="0" applyFill="1" applyBorder="1" applyAlignment="1">
      <alignment horizontal="center"/>
    </xf>
    <xf numFmtId="0" fontId="0" fillId="0" borderId="2" xfId="0" applyBorder="1" applyAlignment="1">
      <alignment horizontal="center"/>
    </xf>
    <xf numFmtId="0" fontId="0" fillId="13" borderId="1" xfId="0" applyFill="1" applyBorder="1" applyAlignment="1">
      <alignment horizontal="center"/>
    </xf>
    <xf numFmtId="0" fontId="0" fillId="13" borderId="2" xfId="0" applyFill="1" applyBorder="1" applyAlignment="1">
      <alignment horizontal="center"/>
    </xf>
    <xf numFmtId="0" fontId="3" fillId="0" borderId="6" xfId="0" applyFont="1" applyBorder="1" applyAlignment="1">
      <alignment horizontal="right"/>
    </xf>
    <xf numFmtId="0" fontId="2" fillId="14" borderId="1"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6" fillId="14" borderId="12" xfId="0" applyFont="1" applyFill="1" applyBorder="1" applyAlignment="1">
      <alignment horizontal="center"/>
    </xf>
    <xf numFmtId="0" fontId="2" fillId="14" borderId="2" xfId="0" applyFont="1" applyFill="1" applyBorder="1" applyAlignment="1">
      <alignment horizontal="center"/>
    </xf>
    <xf numFmtId="0" fontId="7" fillId="14" borderId="13" xfId="0" applyFont="1" applyFill="1" applyBorder="1" applyAlignment="1">
      <alignment horizontal="center"/>
    </xf>
    <xf numFmtId="0" fontId="8" fillId="0" borderId="0" xfId="0" applyFont="1" applyAlignment="1">
      <alignment horizontal="center"/>
    </xf>
    <xf numFmtId="0" fontId="2" fillId="12" borderId="6" xfId="0" applyFont="1" applyFill="1" applyBorder="1"/>
    <xf numFmtId="0" fontId="0" fillId="0" borderId="14" xfId="0" applyBorder="1" applyAlignment="1">
      <alignment horizontal="center"/>
    </xf>
    <xf numFmtId="0" fontId="0" fillId="0" borderId="6" xfId="0" applyBorder="1" applyAlignment="1">
      <alignment horizontal="left"/>
    </xf>
    <xf numFmtId="0" fontId="2" fillId="0" borderId="8" xfId="0" applyFont="1" applyBorder="1" applyAlignment="1">
      <alignment horizontal="center"/>
    </xf>
    <xf numFmtId="0" fontId="2" fillId="2" borderId="8" xfId="0" applyFont="1" applyFill="1" applyBorder="1" applyAlignment="1">
      <alignment horizontal="center"/>
    </xf>
    <xf numFmtId="0" fontId="2" fillId="0" borderId="2" xfId="0" applyFont="1" applyBorder="1" applyAlignment="1">
      <alignment horizontal="center"/>
    </xf>
    <xf numFmtId="0" fontId="2" fillId="13" borderId="2" xfId="0" applyFont="1" applyFill="1" applyBorder="1" applyAlignment="1">
      <alignment horizontal="center"/>
    </xf>
    <xf numFmtId="0" fontId="0" fillId="16" borderId="6" xfId="0" applyFill="1" applyBorder="1"/>
    <xf numFmtId="0" fontId="0" fillId="0" borderId="14" xfId="0" applyBorder="1"/>
    <xf numFmtId="0" fontId="2" fillId="8" borderId="14" xfId="0" applyFont="1" applyFill="1" applyBorder="1"/>
    <xf numFmtId="0" fontId="2" fillId="15" borderId="14" xfId="0" applyFont="1" applyFill="1" applyBorder="1"/>
    <xf numFmtId="0" fontId="0" fillId="16" borderId="14" xfId="0" applyFill="1" applyBorder="1"/>
    <xf numFmtId="0" fontId="0" fillId="16" borderId="1" xfId="0" applyFill="1" applyBorder="1" applyAlignment="1">
      <alignment horizontal="center"/>
    </xf>
    <xf numFmtId="0" fontId="0" fillId="16" borderId="2" xfId="0" applyFill="1" applyBorder="1" applyAlignment="1">
      <alignment horizontal="center"/>
    </xf>
    <xf numFmtId="0" fontId="0" fillId="16" borderId="0" xfId="0" applyFill="1"/>
    <xf numFmtId="0" fontId="0" fillId="16" borderId="14" xfId="0" applyFill="1" applyBorder="1" applyAlignment="1">
      <alignment horizontal="center"/>
    </xf>
    <xf numFmtId="0" fontId="0" fillId="0" borderId="15" xfId="0" applyBorder="1"/>
    <xf numFmtId="0" fontId="0" fillId="0" borderId="16" xfId="0" applyBorder="1"/>
    <xf numFmtId="0" fontId="1" fillId="0" borderId="9" xfId="0" applyFont="1" applyBorder="1" applyAlignment="1">
      <alignment horizontal="center" vertical="center" wrapText="1"/>
    </xf>
    <xf numFmtId="0" fontId="0" fillId="2" borderId="2" xfId="0" applyFill="1" applyBorder="1"/>
    <xf numFmtId="0" fontId="0" fillId="2" borderId="2" xfId="0" applyFill="1" applyBorder="1" applyAlignment="1">
      <alignment horizontal="center"/>
    </xf>
    <xf numFmtId="0" fontId="6" fillId="14" borderId="13" xfId="0" applyFont="1" applyFill="1" applyBorder="1" applyAlignment="1">
      <alignment horizontal="center"/>
    </xf>
    <xf numFmtId="0" fontId="0" fillId="16" borderId="17" xfId="0" applyFill="1" applyBorder="1"/>
    <xf numFmtId="0" fontId="0" fillId="0" borderId="17" xfId="0" applyBorder="1"/>
    <xf numFmtId="0" fontId="0" fillId="0" borderId="11" xfId="0" applyBorder="1"/>
    <xf numFmtId="0" fontId="0" fillId="0" borderId="18" xfId="0" applyBorder="1" applyAlignment="1">
      <alignment horizont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3" fillId="0" borderId="0" xfId="0" applyFont="1" applyAlignment="1">
      <alignment horizontal="right"/>
    </xf>
    <xf numFmtId="0" fontId="4" fillId="0" borderId="0" xfId="0" applyFont="1" applyAlignment="1">
      <alignment horizontal="right"/>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wrapText="1"/>
    </xf>
    <xf numFmtId="0" fontId="0" fillId="0" borderId="19" xfId="0" applyBorder="1"/>
    <xf numFmtId="0" fontId="0" fillId="0" borderId="22" xfId="0" applyBorder="1" applyAlignment="1">
      <alignment horizontal="left"/>
    </xf>
    <xf numFmtId="0" fontId="0" fillId="0" borderId="4" xfId="0" applyBorder="1"/>
    <xf numFmtId="0" fontId="0" fillId="0" borderId="10" xfId="0" applyBorder="1"/>
    <xf numFmtId="0" fontId="2" fillId="0" borderId="0" xfId="0" applyFont="1"/>
    <xf numFmtId="0" fontId="0" fillId="16" borderId="0" xfId="0" applyFill="1" applyAlignment="1">
      <alignment horizontal="center"/>
    </xf>
    <xf numFmtId="0" fontId="18" fillId="0" borderId="0" xfId="0" applyFont="1"/>
    <xf numFmtId="0" fontId="19" fillId="0" borderId="0" xfId="0" applyFont="1" applyAlignment="1">
      <alignment horizontal="left"/>
    </xf>
    <xf numFmtId="0" fontId="20" fillId="0" borderId="0" xfId="0" applyFont="1"/>
    <xf numFmtId="0" fontId="21" fillId="0" borderId="0" xfId="0" applyFont="1" applyAlignment="1">
      <alignment horizontal="left"/>
    </xf>
    <xf numFmtId="0" fontId="22" fillId="0" borderId="0" xfId="0" applyFont="1" applyAlignment="1">
      <alignment horizontal="left"/>
    </xf>
    <xf numFmtId="0" fontId="18" fillId="0" borderId="17" xfId="0" applyFont="1" applyBorder="1" applyAlignment="1">
      <alignment horizontal="center"/>
    </xf>
    <xf numFmtId="0" fontId="18" fillId="0" borderId="24" xfId="0" applyFont="1" applyBorder="1"/>
    <xf numFmtId="0" fontId="23" fillId="0" borderId="24" xfId="0" applyFont="1" applyBorder="1"/>
    <xf numFmtId="0" fontId="24" fillId="0" borderId="0" xfId="0" applyFont="1" applyProtection="1">
      <protection locked="0"/>
    </xf>
    <xf numFmtId="0" fontId="24" fillId="0" borderId="0" xfId="0" applyFont="1"/>
    <xf numFmtId="0" fontId="25" fillId="0" borderId="0" xfId="0" applyFont="1"/>
    <xf numFmtId="0" fontId="26" fillId="0" borderId="0" xfId="0" applyFont="1" applyProtection="1">
      <protection locked="0"/>
    </xf>
    <xf numFmtId="0" fontId="14" fillId="0" borderId="0" xfId="0" applyFont="1" applyProtection="1">
      <protection locked="0"/>
    </xf>
    <xf numFmtId="0" fontId="24" fillId="17" borderId="0" xfId="0" applyFont="1" applyFill="1" applyProtection="1">
      <protection locked="0"/>
    </xf>
    <xf numFmtId="0" fontId="24" fillId="17" borderId="25" xfId="0" applyFont="1" applyFill="1" applyBorder="1" applyProtection="1">
      <protection locked="0"/>
    </xf>
    <xf numFmtId="0" fontId="24" fillId="18" borderId="0" xfId="0" applyFont="1" applyFill="1" applyProtection="1">
      <protection locked="0"/>
    </xf>
    <xf numFmtId="0" fontId="24" fillId="18" borderId="25" xfId="0" applyFont="1" applyFill="1" applyBorder="1" applyProtection="1">
      <protection locked="0"/>
    </xf>
    <xf numFmtId="0" fontId="24" fillId="17" borderId="26" xfId="0" applyFont="1" applyFill="1" applyBorder="1" applyProtection="1">
      <protection locked="0"/>
    </xf>
    <xf numFmtId="0" fontId="24" fillId="17" borderId="27" xfId="0" applyFont="1" applyFill="1" applyBorder="1" applyProtection="1">
      <protection locked="0"/>
    </xf>
    <xf numFmtId="0" fontId="24" fillId="18" borderId="26" xfId="0" applyFont="1" applyFill="1" applyBorder="1" applyProtection="1">
      <protection locked="0"/>
    </xf>
    <xf numFmtId="0" fontId="24" fillId="18" borderId="27" xfId="0" applyFont="1" applyFill="1" applyBorder="1" applyProtection="1">
      <protection locked="0"/>
    </xf>
    <xf numFmtId="0" fontId="15" fillId="0" borderId="0" xfId="0" applyFont="1" applyProtection="1">
      <protection locked="0"/>
    </xf>
    <xf numFmtId="0" fontId="24" fillId="19" borderId="0" xfId="0" applyFont="1" applyFill="1" applyProtection="1">
      <protection locked="0"/>
    </xf>
    <xf numFmtId="0" fontId="24" fillId="19" borderId="25" xfId="0" applyFont="1" applyFill="1" applyBorder="1" applyProtection="1">
      <protection locked="0"/>
    </xf>
    <xf numFmtId="0" fontId="24" fillId="19" borderId="26" xfId="0" applyFont="1" applyFill="1" applyBorder="1" applyProtection="1">
      <protection locked="0"/>
    </xf>
    <xf numFmtId="0" fontId="24" fillId="19" borderId="27" xfId="0" applyFont="1" applyFill="1" applyBorder="1" applyProtection="1">
      <protection locked="0"/>
    </xf>
    <xf numFmtId="0" fontId="24" fillId="0" borderId="0" xfId="0" applyFont="1" applyAlignment="1">
      <alignment horizontal="left"/>
    </xf>
    <xf numFmtId="0" fontId="14" fillId="0" borderId="25" xfId="0" applyFont="1" applyBorder="1" applyProtection="1">
      <protection locked="0"/>
    </xf>
    <xf numFmtId="0" fontId="14" fillId="0" borderId="26" xfId="0" applyFont="1" applyBorder="1" applyProtection="1">
      <protection locked="0"/>
    </xf>
    <xf numFmtId="0" fontId="14" fillId="0" borderId="27" xfId="0" applyFont="1" applyBorder="1" applyProtection="1">
      <protection locked="0"/>
    </xf>
    <xf numFmtId="0" fontId="14" fillId="0" borderId="0" xfId="0" applyFont="1"/>
    <xf numFmtId="0" fontId="27" fillId="0" borderId="0" xfId="0" applyFont="1" applyProtection="1">
      <protection locked="0"/>
    </xf>
    <xf numFmtId="0" fontId="25" fillId="0" borderId="0" xfId="0" applyFont="1" applyProtection="1">
      <protection locked="0"/>
    </xf>
    <xf numFmtId="0" fontId="25" fillId="0" borderId="0" xfId="0" applyFont="1" applyAlignment="1" applyProtection="1">
      <alignment vertical="center"/>
      <protection locked="0"/>
    </xf>
    <xf numFmtId="0" fontId="24" fillId="0" borderId="0" xfId="0" applyFont="1" applyAlignment="1" applyProtection="1">
      <alignment wrapText="1"/>
      <protection locked="0"/>
    </xf>
    <xf numFmtId="0" fontId="24" fillId="0" borderId="24" xfId="0" applyFont="1" applyBorder="1"/>
    <xf numFmtId="0" fontId="18" fillId="0" borderId="0" xfId="0" applyFont="1" applyProtection="1">
      <protection locked="0"/>
    </xf>
    <xf numFmtId="0" fontId="24" fillId="0" borderId="0" xfId="0" applyFont="1" applyAlignment="1" applyProtection="1">
      <alignment vertical="center"/>
      <protection locked="0"/>
    </xf>
    <xf numFmtId="0" fontId="24" fillId="0" borderId="0" xfId="0" applyFont="1" applyAlignment="1" applyProtection="1">
      <alignment vertical="center" wrapText="1"/>
      <protection locked="0"/>
    </xf>
    <xf numFmtId="0" fontId="24" fillId="0" borderId="28" xfId="0" applyFont="1" applyBorder="1" applyProtection="1">
      <protection locked="0"/>
    </xf>
    <xf numFmtId="0" fontId="24" fillId="0" borderId="28" xfId="0" applyFont="1" applyBorder="1" applyAlignment="1">
      <alignment horizontal="left"/>
    </xf>
    <xf numFmtId="0" fontId="24" fillId="0" borderId="28" xfId="0" applyFont="1" applyBorder="1"/>
    <xf numFmtId="0" fontId="24" fillId="21" borderId="0" xfId="0" applyFont="1" applyFill="1" applyProtection="1">
      <protection locked="0"/>
    </xf>
    <xf numFmtId="0" fontId="24" fillId="21" borderId="25" xfId="0" applyFont="1" applyFill="1" applyBorder="1" applyProtection="1">
      <protection locked="0"/>
    </xf>
    <xf numFmtId="0" fontId="24" fillId="21" borderId="26" xfId="0" applyFont="1" applyFill="1" applyBorder="1" applyProtection="1">
      <protection locked="0"/>
    </xf>
    <xf numFmtId="0" fontId="24" fillId="21" borderId="27" xfId="0" applyFont="1" applyFill="1" applyBorder="1" applyProtection="1">
      <protection locked="0"/>
    </xf>
    <xf numFmtId="0" fontId="24" fillId="22" borderId="0" xfId="0" applyFont="1" applyFill="1" applyProtection="1">
      <protection locked="0"/>
    </xf>
    <xf numFmtId="0" fontId="24" fillId="22" borderId="25" xfId="0" applyFont="1" applyFill="1" applyBorder="1" applyProtection="1">
      <protection locked="0"/>
    </xf>
    <xf numFmtId="0" fontId="24" fillId="22" borderId="26" xfId="0" applyFont="1" applyFill="1" applyBorder="1" applyProtection="1">
      <protection locked="0"/>
    </xf>
    <xf numFmtId="0" fontId="24" fillId="22" borderId="27" xfId="0" applyFont="1" applyFill="1" applyBorder="1" applyProtection="1">
      <protection locked="0"/>
    </xf>
    <xf numFmtId="0" fontId="24" fillId="23" borderId="0" xfId="0" applyFont="1" applyFill="1" applyProtection="1">
      <protection locked="0"/>
    </xf>
    <xf numFmtId="0" fontId="24" fillId="23" borderId="25" xfId="0" applyFont="1" applyFill="1" applyBorder="1" applyProtection="1">
      <protection locked="0"/>
    </xf>
    <xf numFmtId="0" fontId="24" fillId="23" borderId="26" xfId="0" applyFont="1" applyFill="1" applyBorder="1" applyProtection="1">
      <protection locked="0"/>
    </xf>
    <xf numFmtId="0" fontId="24" fillId="23" borderId="27" xfId="0" applyFont="1" applyFill="1" applyBorder="1" applyProtection="1">
      <protection locked="0"/>
    </xf>
    <xf numFmtId="0" fontId="24" fillId="24" borderId="0" xfId="0" applyFont="1" applyFill="1" applyProtection="1">
      <protection locked="0"/>
    </xf>
    <xf numFmtId="0" fontId="24" fillId="24" borderId="25" xfId="0" applyFont="1" applyFill="1" applyBorder="1" applyProtection="1">
      <protection locked="0"/>
    </xf>
    <xf numFmtId="0" fontId="24" fillId="24" borderId="26" xfId="0" applyFont="1" applyFill="1" applyBorder="1" applyProtection="1">
      <protection locked="0"/>
    </xf>
    <xf numFmtId="0" fontId="24" fillId="24" borderId="27" xfId="0" applyFont="1" applyFill="1" applyBorder="1" applyProtection="1">
      <protection locked="0"/>
    </xf>
    <xf numFmtId="0" fontId="24" fillId="25" borderId="0" xfId="0" applyFont="1" applyFill="1" applyProtection="1">
      <protection locked="0"/>
    </xf>
    <xf numFmtId="0" fontId="24" fillId="25" borderId="25" xfId="0" applyFont="1" applyFill="1" applyBorder="1" applyProtection="1">
      <protection locked="0"/>
    </xf>
    <xf numFmtId="0" fontId="24" fillId="25" borderId="26" xfId="0" applyFont="1" applyFill="1" applyBorder="1" applyProtection="1">
      <protection locked="0"/>
    </xf>
    <xf numFmtId="0" fontId="24" fillId="25" borderId="27" xfId="0" applyFont="1" applyFill="1" applyBorder="1" applyProtection="1">
      <protection locked="0"/>
    </xf>
    <xf numFmtId="0" fontId="14" fillId="26" borderId="0" xfId="0" applyFont="1" applyFill="1" applyProtection="1">
      <protection locked="0"/>
    </xf>
    <xf numFmtId="0" fontId="14" fillId="26" borderId="25" xfId="0" applyFont="1" applyFill="1" applyBorder="1" applyProtection="1">
      <protection locked="0"/>
    </xf>
    <xf numFmtId="0" fontId="14" fillId="26" borderId="26" xfId="0" applyFont="1" applyFill="1" applyBorder="1" applyProtection="1">
      <protection locked="0"/>
    </xf>
    <xf numFmtId="0" fontId="14" fillId="26" borderId="27" xfId="0" applyFont="1" applyFill="1" applyBorder="1" applyProtection="1">
      <protection locked="0"/>
    </xf>
    <xf numFmtId="0" fontId="24" fillId="26" borderId="0" xfId="0" applyFont="1" applyFill="1" applyProtection="1">
      <protection locked="0"/>
    </xf>
    <xf numFmtId="0" fontId="24" fillId="26" borderId="25" xfId="0" applyFont="1" applyFill="1" applyBorder="1" applyProtection="1">
      <protection locked="0"/>
    </xf>
    <xf numFmtId="0" fontId="24" fillId="26" borderId="26" xfId="0" applyFont="1" applyFill="1" applyBorder="1" applyProtection="1">
      <protection locked="0"/>
    </xf>
    <xf numFmtId="0" fontId="24" fillId="26" borderId="27" xfId="0" applyFont="1" applyFill="1" applyBorder="1" applyProtection="1">
      <protection locked="0"/>
    </xf>
    <xf numFmtId="0" fontId="14" fillId="27" borderId="0" xfId="0" applyFont="1" applyFill="1" applyProtection="1">
      <protection locked="0"/>
    </xf>
    <xf numFmtId="0" fontId="14" fillId="27" borderId="25" xfId="0" applyFont="1" applyFill="1" applyBorder="1" applyProtection="1">
      <protection locked="0"/>
    </xf>
    <xf numFmtId="0" fontId="14" fillId="27" borderId="26" xfId="0" applyFont="1" applyFill="1" applyBorder="1" applyProtection="1">
      <protection locked="0"/>
    </xf>
    <xf numFmtId="0" fontId="14" fillId="27" borderId="27" xfId="0" applyFont="1" applyFill="1" applyBorder="1" applyProtection="1">
      <protection locked="0"/>
    </xf>
    <xf numFmtId="0" fontId="24" fillId="27" borderId="0" xfId="0" applyFont="1" applyFill="1" applyProtection="1">
      <protection locked="0"/>
    </xf>
    <xf numFmtId="0" fontId="24" fillId="27" borderId="25" xfId="0" applyFont="1" applyFill="1" applyBorder="1" applyProtection="1">
      <protection locked="0"/>
    </xf>
    <xf numFmtId="0" fontId="24" fillId="27" borderId="26" xfId="0" applyFont="1" applyFill="1" applyBorder="1" applyProtection="1">
      <protection locked="0"/>
    </xf>
    <xf numFmtId="0" fontId="24" fillId="27" borderId="27" xfId="0" applyFont="1" applyFill="1" applyBorder="1" applyProtection="1">
      <protection locked="0"/>
    </xf>
    <xf numFmtId="0" fontId="14" fillId="28" borderId="0" xfId="0" applyFont="1" applyFill="1" applyProtection="1">
      <protection locked="0"/>
    </xf>
    <xf numFmtId="0" fontId="14" fillId="28" borderId="25" xfId="0" applyFont="1" applyFill="1" applyBorder="1" applyProtection="1">
      <protection locked="0"/>
    </xf>
    <xf numFmtId="0" fontId="14" fillId="28" borderId="26" xfId="0" applyFont="1" applyFill="1" applyBorder="1" applyProtection="1">
      <protection locked="0"/>
    </xf>
    <xf numFmtId="0" fontId="14" fillId="28" borderId="27" xfId="0" applyFont="1" applyFill="1" applyBorder="1" applyProtection="1">
      <protection locked="0"/>
    </xf>
    <xf numFmtId="0" fontId="24" fillId="29" borderId="0" xfId="0" applyFont="1" applyFill="1" applyProtection="1">
      <protection locked="0"/>
    </xf>
    <xf numFmtId="0" fontId="24" fillId="29" borderId="25" xfId="0" applyFont="1" applyFill="1" applyBorder="1" applyProtection="1">
      <protection locked="0"/>
    </xf>
    <xf numFmtId="0" fontId="24" fillId="29" borderId="26" xfId="0" applyFont="1" applyFill="1" applyBorder="1" applyProtection="1">
      <protection locked="0"/>
    </xf>
    <xf numFmtId="0" fontId="24" fillId="29" borderId="27" xfId="0" applyFont="1" applyFill="1" applyBorder="1" applyProtection="1">
      <protection locked="0"/>
    </xf>
    <xf numFmtId="0" fontId="24" fillId="30" borderId="0" xfId="0" applyFont="1" applyFill="1" applyProtection="1">
      <protection locked="0"/>
    </xf>
    <xf numFmtId="0" fontId="24" fillId="30" borderId="25" xfId="0" applyFont="1" applyFill="1" applyBorder="1" applyProtection="1">
      <protection locked="0"/>
    </xf>
    <xf numFmtId="0" fontId="24" fillId="30" borderId="26" xfId="0" applyFont="1" applyFill="1" applyBorder="1" applyProtection="1">
      <protection locked="0"/>
    </xf>
    <xf numFmtId="0" fontId="24" fillId="30" borderId="27" xfId="0" applyFont="1" applyFill="1" applyBorder="1" applyProtection="1">
      <protection locked="0"/>
    </xf>
    <xf numFmtId="0" fontId="0" fillId="0" borderId="11" xfId="0" applyBorder="1" applyAlignment="1">
      <alignment horizontal="left"/>
    </xf>
    <xf numFmtId="0" fontId="0" fillId="0" borderId="1" xfId="0" applyBorder="1" applyAlignment="1">
      <alignment horizontal="left" wrapText="1"/>
    </xf>
    <xf numFmtId="0" fontId="0" fillId="0" borderId="6" xfId="0" applyBorder="1" applyAlignment="1">
      <alignment horizontal="center" vertical="center"/>
    </xf>
    <xf numFmtId="0" fontId="0" fillId="0" borderId="1" xfId="0" applyBorder="1" applyAlignment="1">
      <alignment vertical="center" wrapText="1"/>
    </xf>
    <xf numFmtId="0" fontId="0" fillId="0" borderId="11" xfId="0" applyBorder="1" applyAlignment="1">
      <alignment vertical="center"/>
    </xf>
    <xf numFmtId="0" fontId="0" fillId="0" borderId="2" xfId="0" applyBorder="1" applyAlignment="1">
      <alignment horizontal="center" vertical="center"/>
    </xf>
    <xf numFmtId="0" fontId="0" fillId="0" borderId="13" xfId="0" applyBorder="1" applyAlignment="1">
      <alignment horizontal="center" vertical="center"/>
    </xf>
    <xf numFmtId="0" fontId="24" fillId="0" borderId="0" xfId="0" applyFont="1" applyAlignment="1">
      <alignment horizontal="center"/>
    </xf>
    <xf numFmtId="0" fontId="25" fillId="0" borderId="0" xfId="0" applyFont="1" applyAlignment="1">
      <alignment horizontal="center"/>
    </xf>
    <xf numFmtId="0" fontId="24" fillId="0" borderId="0" xfId="0" applyFont="1" applyAlignment="1" applyProtection="1">
      <alignment horizontal="center"/>
      <protection locked="0"/>
    </xf>
    <xf numFmtId="0" fontId="18" fillId="0" borderId="8" xfId="0" applyFont="1" applyBorder="1" applyAlignment="1">
      <alignment horizontal="center"/>
    </xf>
    <xf numFmtId="0" fontId="18" fillId="0" borderId="14" xfId="0" applyFont="1" applyBorder="1" applyAlignment="1">
      <alignment horizontal="center"/>
    </xf>
    <xf numFmtId="0" fontId="25" fillId="0" borderId="29" xfId="0" applyFont="1" applyBorder="1" applyAlignment="1">
      <alignment horizontal="center"/>
    </xf>
    <xf numFmtId="0" fontId="0" fillId="0" borderId="10" xfId="0" applyBorder="1" applyAlignment="1">
      <alignment horizontal="center" vertical="center"/>
    </xf>
    <xf numFmtId="0" fontId="0" fillId="0" borderId="0" xfId="0" applyAlignment="1">
      <alignment horizontal="left" vertical="center"/>
    </xf>
    <xf numFmtId="0" fontId="0" fillId="0" borderId="6" xfId="0" applyBorder="1" applyAlignment="1">
      <alignment horizontal="center" vertical="center" wrapText="1"/>
    </xf>
    <xf numFmtId="0" fontId="0" fillId="0" borderId="0" xfId="0" applyAlignment="1">
      <alignment vertical="center"/>
    </xf>
    <xf numFmtId="0" fontId="0" fillId="0" borderId="0" xfId="0" applyAlignment="1">
      <alignment wrapText="1"/>
    </xf>
    <xf numFmtId="0" fontId="0" fillId="0" borderId="0" xfId="0" applyAlignment="1">
      <alignment horizontal="left"/>
    </xf>
    <xf numFmtId="0" fontId="0" fillId="0" borderId="0" xfId="0" applyAlignment="1">
      <alignment horizontal="center" vertical="center"/>
    </xf>
    <xf numFmtId="0" fontId="1" fillId="0" borderId="0" xfId="0" applyFont="1" applyAlignment="1">
      <alignment horizontal="center" vertical="center"/>
    </xf>
    <xf numFmtId="0" fontId="2" fillId="0" borderId="4"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2" fillId="0" borderId="5" xfId="0" applyFont="1" applyBorder="1" applyAlignment="1">
      <alignment horizontal="center" vertical="center"/>
    </xf>
    <xf numFmtId="0" fontId="0" fillId="0" borderId="11" xfId="0"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vertical="center"/>
    </xf>
    <xf numFmtId="0" fontId="2" fillId="0" borderId="0" xfId="0" applyFont="1" applyAlignment="1">
      <alignment horizontal="center" vertical="center"/>
    </xf>
    <xf numFmtId="0" fontId="0" fillId="0" borderId="19" xfId="0" applyBorder="1" applyAlignment="1">
      <alignment horizontal="center" vertical="center"/>
    </xf>
    <xf numFmtId="0" fontId="0" fillId="0" borderId="22" xfId="0" applyBorder="1" applyAlignment="1">
      <alignment horizontal="center" vertical="center"/>
    </xf>
    <xf numFmtId="0" fontId="0" fillId="0" borderId="9" xfId="0" applyBorder="1" applyAlignment="1">
      <alignment vertical="center"/>
    </xf>
    <xf numFmtId="0" fontId="0" fillId="0" borderId="1" xfId="0" applyBorder="1" applyAlignment="1">
      <alignment horizontal="left" vertical="center" wrapText="1"/>
    </xf>
    <xf numFmtId="0" fontId="2" fillId="0" borderId="9" xfId="0" applyFont="1" applyBorder="1" applyAlignment="1">
      <alignment horizontal="center" vertical="center"/>
    </xf>
    <xf numFmtId="0" fontId="0" fillId="0" borderId="13" xfId="0" applyBorder="1" applyAlignment="1">
      <alignment horizontal="center" vertical="center" wrapText="1"/>
    </xf>
    <xf numFmtId="0" fontId="0" fillId="0" borderId="23" xfId="0" applyBorder="1" applyAlignment="1">
      <alignment horizontal="center" vertical="center"/>
    </xf>
    <xf numFmtId="0" fontId="2" fillId="0" borderId="11" xfId="0" applyFont="1" applyBorder="1" applyAlignment="1">
      <alignment horizontal="center" vertical="center"/>
    </xf>
    <xf numFmtId="0" fontId="29" fillId="31" borderId="1" xfId="0" applyFont="1" applyFill="1" applyBorder="1" applyAlignment="1">
      <alignment horizontal="center" vertical="center"/>
    </xf>
    <xf numFmtId="0" fontId="0" fillId="0" borderId="1" xfId="0" applyBorder="1" applyAlignment="1">
      <alignment horizontal="left" vertical="top" wrapText="1"/>
    </xf>
    <xf numFmtId="0" fontId="30" fillId="0" borderId="1" xfId="0" applyFont="1" applyBorder="1" applyAlignment="1">
      <alignment horizontal="center" vertical="top" wrapText="1"/>
    </xf>
    <xf numFmtId="0" fontId="30" fillId="0" borderId="1" xfId="0" applyFont="1" applyBorder="1" applyAlignment="1">
      <alignment horizontal="center" vertical="center" wrapText="1"/>
    </xf>
    <xf numFmtId="0" fontId="30" fillId="0" borderId="1" xfId="0" applyFont="1" applyBorder="1" applyAlignment="1">
      <alignment horizontal="justify" vertical="top" wrapText="1"/>
    </xf>
    <xf numFmtId="0" fontId="30" fillId="0" borderId="0" xfId="0" applyFont="1" applyAlignment="1">
      <alignment horizontal="center" vertical="top" wrapText="1"/>
    </xf>
    <xf numFmtId="0" fontId="0" fillId="0" borderId="0" xfId="0" applyAlignment="1">
      <alignment horizontal="center" vertical="top" wrapText="1"/>
    </xf>
    <xf numFmtId="0" fontId="30" fillId="0" borderId="0" xfId="0" applyFont="1" applyAlignment="1">
      <alignment horizontal="justify" vertical="top" wrapText="1"/>
    </xf>
    <xf numFmtId="0" fontId="29" fillId="31" borderId="1" xfId="0" applyFont="1" applyFill="1" applyBorder="1" applyAlignment="1">
      <alignment vertical="center"/>
    </xf>
    <xf numFmtId="0" fontId="0" fillId="0" borderId="0" xfId="0" applyAlignment="1">
      <alignment vertical="top" wrapText="1"/>
    </xf>
    <xf numFmtId="0" fontId="30" fillId="0" borderId="8" xfId="0" applyFont="1" applyBorder="1" applyAlignment="1">
      <alignment horizontal="center" vertical="top" wrapText="1"/>
    </xf>
    <xf numFmtId="0" fontId="29" fillId="31" borderId="3" xfId="0" applyFont="1" applyFill="1" applyBorder="1" applyAlignment="1">
      <alignment horizontal="center" vertical="center"/>
    </xf>
    <xf numFmtId="0" fontId="29" fillId="31" borderId="30" xfId="0" applyFont="1" applyFill="1" applyBorder="1" applyAlignment="1">
      <alignment horizontal="center" vertical="center"/>
    </xf>
    <xf numFmtId="0" fontId="31" fillId="0" borderId="1" xfId="0" applyFont="1" applyBorder="1" applyAlignment="1">
      <alignment horizontal="center" vertical="top" wrapText="1"/>
    </xf>
    <xf numFmtId="0" fontId="31" fillId="0" borderId="0" xfId="0" applyFont="1" applyAlignment="1">
      <alignment horizontal="center" vertical="top" wrapText="1"/>
    </xf>
    <xf numFmtId="0" fontId="0" fillId="0" borderId="6" xfId="0" applyBorder="1" applyAlignment="1">
      <alignment horizontal="center" vertical="top" wrapText="1"/>
    </xf>
    <xf numFmtId="0" fontId="0" fillId="0" borderId="16" xfId="0" applyBorder="1" applyAlignment="1">
      <alignment horizontal="center" vertical="top" wrapText="1"/>
    </xf>
    <xf numFmtId="0" fontId="0" fillId="0" borderId="14" xfId="0" applyBorder="1" applyAlignment="1">
      <alignment horizontal="center" vertical="top" wrapText="1"/>
    </xf>
    <xf numFmtId="0" fontId="0" fillId="0" borderId="30" xfId="0" applyBorder="1" applyAlignment="1">
      <alignment wrapText="1"/>
    </xf>
    <xf numFmtId="0" fontId="0" fillId="0" borderId="1" xfId="0" applyBorder="1" applyAlignment="1">
      <alignment horizontal="center" vertical="top" wrapText="1"/>
    </xf>
    <xf numFmtId="0" fontId="30" fillId="0" borderId="33" xfId="0" applyFont="1" applyBorder="1" applyAlignment="1">
      <alignment horizontal="center" vertical="center" wrapText="1"/>
    </xf>
    <xf numFmtId="0" fontId="30" fillId="0" borderId="32" xfId="0" applyFont="1" applyBorder="1" applyAlignment="1">
      <alignment horizontal="center" vertical="center" wrapText="1"/>
    </xf>
    <xf numFmtId="0" fontId="5" fillId="0" borderId="32" xfId="0" applyFont="1" applyBorder="1" applyAlignment="1">
      <alignment horizontal="center" vertical="center" wrapText="1"/>
    </xf>
    <xf numFmtId="0" fontId="30" fillId="0" borderId="45" xfId="0" applyFont="1" applyBorder="1" applyAlignment="1">
      <alignment horizontal="center" vertical="center" wrapText="1"/>
    </xf>
    <xf numFmtId="0" fontId="5" fillId="0" borderId="45" xfId="0" applyFont="1" applyBorder="1" applyAlignment="1">
      <alignment horizontal="center" vertical="center" wrapText="1"/>
    </xf>
    <xf numFmtId="0" fontId="30" fillId="0" borderId="16" xfId="0" applyFont="1" applyBorder="1" applyAlignment="1">
      <alignment horizontal="left" vertical="top" wrapText="1"/>
    </xf>
    <xf numFmtId="0" fontId="0" fillId="0" borderId="32" xfId="0" applyBorder="1" applyAlignment="1">
      <alignment vertical="center" wrapText="1"/>
    </xf>
    <xf numFmtId="0" fontId="30" fillId="0" borderId="1" xfId="0" applyFont="1" applyBorder="1" applyAlignment="1">
      <alignment horizontal="justify" vertical="top"/>
    </xf>
    <xf numFmtId="0" fontId="0" fillId="0" borderId="0" xfId="0" applyAlignment="1">
      <alignment horizontal="right"/>
    </xf>
    <xf numFmtId="0" fontId="2" fillId="0" borderId="0" xfId="0" applyFont="1" applyAlignment="1">
      <alignment horizontal="left"/>
    </xf>
    <xf numFmtId="0" fontId="28" fillId="0" borderId="0" xfId="0" applyFont="1" applyAlignment="1">
      <alignment horizontal="left"/>
    </xf>
    <xf numFmtId="0" fontId="16" fillId="0" borderId="0" xfId="0" applyFont="1" applyAlignment="1">
      <alignment horizontal="center"/>
    </xf>
    <xf numFmtId="0" fontId="10" fillId="0" borderId="0" xfId="0" applyFont="1" applyAlignment="1">
      <alignment horizontal="justify" vertical="top"/>
    </xf>
    <xf numFmtId="0" fontId="43" fillId="34" borderId="60" xfId="0" applyFont="1" applyFill="1" applyBorder="1" applyAlignment="1">
      <alignment vertical="top" wrapText="1"/>
    </xf>
    <xf numFmtId="0" fontId="43" fillId="34" borderId="63" xfId="0" applyFont="1" applyFill="1" applyBorder="1" applyAlignment="1">
      <alignment vertical="top" wrapText="1"/>
    </xf>
    <xf numFmtId="0" fontId="44" fillId="0" borderId="60" xfId="0" applyFont="1" applyBorder="1" applyAlignment="1">
      <alignment horizontal="left" vertical="center" wrapText="1"/>
    </xf>
    <xf numFmtId="0" fontId="45" fillId="0" borderId="0" xfId="0" applyFont="1" applyAlignment="1">
      <alignment vertical="top" wrapText="1"/>
    </xf>
    <xf numFmtId="0" fontId="46" fillId="0" borderId="0" xfId="0" applyFont="1"/>
    <xf numFmtId="0" fontId="46" fillId="0" borderId="0" xfId="0" applyFont="1" applyAlignment="1">
      <alignment horizontal="center"/>
    </xf>
    <xf numFmtId="0" fontId="45" fillId="0" borderId="0" xfId="0" applyFont="1" applyAlignment="1">
      <alignment horizontal="center" vertical="top" wrapText="1"/>
    </xf>
    <xf numFmtId="0" fontId="44" fillId="0" borderId="60" xfId="0" applyFont="1" applyBorder="1" applyAlignment="1">
      <alignment wrapText="1"/>
    </xf>
    <xf numFmtId="0" fontId="44" fillId="0" borderId="70" xfId="0" applyFont="1" applyBorder="1" applyAlignment="1">
      <alignment horizontal="center" wrapText="1"/>
    </xf>
    <xf numFmtId="0" fontId="44" fillId="0" borderId="28" xfId="0" applyFont="1" applyBorder="1" applyAlignment="1">
      <alignment horizontal="center" wrapText="1"/>
    </xf>
    <xf numFmtId="0" fontId="49" fillId="0" borderId="0" xfId="0" applyFont="1" applyAlignment="1">
      <alignment horizontal="justify"/>
    </xf>
    <xf numFmtId="0" fontId="43" fillId="34" borderId="1" xfId="0" applyFont="1" applyFill="1" applyBorder="1" applyAlignment="1">
      <alignment vertical="top" wrapText="1"/>
    </xf>
    <xf numFmtId="0" fontId="43" fillId="34" borderId="0" xfId="0" applyFont="1" applyFill="1" applyAlignment="1">
      <alignment vertical="top" wrapText="1"/>
    </xf>
    <xf numFmtId="0" fontId="43" fillId="34" borderId="58" xfId="0" applyFont="1" applyFill="1" applyBorder="1" applyAlignment="1">
      <alignment vertical="top" wrapText="1"/>
    </xf>
    <xf numFmtId="0" fontId="48" fillId="0" borderId="73" xfId="0" applyFont="1" applyBorder="1" applyAlignment="1">
      <alignment horizontal="center" wrapText="1"/>
    </xf>
    <xf numFmtId="0" fontId="48" fillId="0" borderId="42" xfId="0" applyFont="1" applyBorder="1" applyAlignment="1">
      <alignment horizontal="center" wrapText="1"/>
    </xf>
    <xf numFmtId="0" fontId="45" fillId="0" borderId="0" xfId="0" applyFont="1" applyAlignment="1">
      <alignment wrapText="1"/>
    </xf>
    <xf numFmtId="0" fontId="48" fillId="0" borderId="0" xfId="0" applyFont="1" applyAlignment="1">
      <alignment horizontal="center" wrapText="1"/>
    </xf>
    <xf numFmtId="0" fontId="44" fillId="31" borderId="60" xfId="0" applyFont="1" applyFill="1" applyBorder="1" applyAlignment="1">
      <alignment wrapText="1"/>
    </xf>
    <xf numFmtId="0" fontId="44" fillId="31" borderId="60" xfId="0" applyFont="1" applyFill="1" applyBorder="1" applyAlignment="1">
      <alignment vertical="center" wrapText="1"/>
    </xf>
    <xf numFmtId="0" fontId="44" fillId="31" borderId="71" xfId="0" applyFont="1" applyFill="1" applyBorder="1" applyAlignment="1">
      <alignment horizontal="center" wrapText="1"/>
    </xf>
    <xf numFmtId="0" fontId="44" fillId="0" borderId="60" xfId="0" applyFont="1" applyBorder="1" applyAlignment="1">
      <alignment horizontal="center" wrapText="1"/>
    </xf>
    <xf numFmtId="0" fontId="44" fillId="0" borderId="28" xfId="0" applyFont="1" applyBorder="1" applyAlignment="1">
      <alignment wrapText="1"/>
    </xf>
    <xf numFmtId="0" fontId="44" fillId="0" borderId="62" xfId="0" applyFont="1" applyBorder="1" applyAlignment="1">
      <alignment horizontal="center" wrapText="1"/>
    </xf>
    <xf numFmtId="0" fontId="0" fillId="0" borderId="31" xfId="0"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0" fillId="0" borderId="13" xfId="0" applyBorder="1" applyAlignment="1">
      <alignment vertical="center"/>
    </xf>
    <xf numFmtId="2" fontId="24" fillId="0" borderId="0" xfId="0" applyNumberFormat="1" applyFont="1" applyProtection="1">
      <protection locked="0"/>
    </xf>
    <xf numFmtId="0" fontId="0" fillId="35" borderId="14" xfId="0" applyFill="1" applyBorder="1" applyAlignment="1">
      <alignment horizontal="center"/>
    </xf>
    <xf numFmtId="0" fontId="0" fillId="35" borderId="1" xfId="0" applyFill="1" applyBorder="1" applyAlignment="1">
      <alignment horizontal="center"/>
    </xf>
    <xf numFmtId="0" fontId="0" fillId="35" borderId="2" xfId="0" applyFill="1" applyBorder="1" applyAlignment="1">
      <alignment horizontal="center"/>
    </xf>
    <xf numFmtId="0" fontId="0" fillId="31" borderId="0" xfId="0" applyFill="1"/>
    <xf numFmtId="0" fontId="14" fillId="0" borderId="0" xfId="0" applyFont="1" applyAlignment="1" applyProtection="1">
      <alignment horizontal="center"/>
      <protection locked="0"/>
    </xf>
    <xf numFmtId="0" fontId="14" fillId="0" borderId="37" xfId="0" applyFont="1" applyBorder="1" applyAlignment="1" applyProtection="1">
      <alignment horizontal="center"/>
      <protection locked="0"/>
    </xf>
    <xf numFmtId="0" fontId="14" fillId="0" borderId="34" xfId="0" applyFont="1" applyBorder="1" applyAlignment="1" applyProtection="1">
      <alignment horizontal="center"/>
      <protection locked="0"/>
    </xf>
    <xf numFmtId="0" fontId="14" fillId="0" borderId="35" xfId="0" applyFont="1" applyBorder="1" applyAlignment="1" applyProtection="1">
      <alignment horizontal="center"/>
      <protection locked="0"/>
    </xf>
    <xf numFmtId="0" fontId="14" fillId="0" borderId="36" xfId="0" applyFont="1" applyBorder="1" applyAlignment="1" applyProtection="1">
      <alignment horizontal="center"/>
      <protection locked="0"/>
    </xf>
    <xf numFmtId="0" fontId="14" fillId="0" borderId="38" xfId="0" applyFont="1" applyBorder="1" applyAlignment="1" applyProtection="1">
      <alignment horizontal="center"/>
      <protection locked="0"/>
    </xf>
    <xf numFmtId="0" fontId="14" fillId="0" borderId="26" xfId="0" applyFont="1" applyBorder="1" applyAlignment="1" applyProtection="1">
      <alignment horizontal="center"/>
      <protection locked="0"/>
    </xf>
    <xf numFmtId="0" fontId="51" fillId="16" borderId="0" xfId="0" applyFont="1" applyFill="1" applyAlignment="1">
      <alignment horizontal="center"/>
    </xf>
    <xf numFmtId="0" fontId="51" fillId="16" borderId="0" xfId="0" applyFont="1" applyFill="1"/>
    <xf numFmtId="0" fontId="52" fillId="0" borderId="0" xfId="0" applyFont="1"/>
    <xf numFmtId="0" fontId="53" fillId="30" borderId="1" xfId="0" applyFont="1" applyFill="1" applyBorder="1" applyAlignment="1">
      <alignment horizontal="center"/>
    </xf>
    <xf numFmtId="0" fontId="53" fillId="36" borderId="1" xfId="0" applyFont="1" applyFill="1" applyBorder="1" applyAlignment="1">
      <alignment horizontal="center"/>
    </xf>
    <xf numFmtId="0" fontId="53" fillId="16" borderId="0" xfId="0" applyFont="1" applyFill="1" applyAlignment="1">
      <alignment horizontal="center"/>
    </xf>
    <xf numFmtId="0" fontId="53" fillId="36" borderId="14" xfId="0" applyFont="1" applyFill="1" applyBorder="1" applyAlignment="1">
      <alignment horizontal="center"/>
    </xf>
    <xf numFmtId="0" fontId="54" fillId="0" borderId="0" xfId="0" applyFont="1"/>
    <xf numFmtId="0" fontId="54" fillId="16" borderId="1" xfId="0" applyFont="1" applyFill="1" applyBorder="1"/>
    <xf numFmtId="0" fontId="53" fillId="16" borderId="1" xfId="0" applyFont="1" applyFill="1" applyBorder="1" applyAlignment="1">
      <alignment horizontal="center"/>
    </xf>
    <xf numFmtId="0" fontId="50" fillId="16" borderId="1" xfId="0" applyFont="1" applyFill="1" applyBorder="1" applyAlignment="1">
      <alignment horizontal="center"/>
    </xf>
    <xf numFmtId="10" fontId="53" fillId="37" borderId="1" xfId="0" applyNumberFormat="1" applyFont="1" applyFill="1" applyBorder="1" applyAlignment="1">
      <alignment horizontal="center"/>
    </xf>
    <xf numFmtId="0" fontId="50" fillId="0" borderId="1" xfId="0" applyFont="1" applyBorder="1" applyAlignment="1">
      <alignment horizontal="center"/>
    </xf>
    <xf numFmtId="0" fontId="53" fillId="30" borderId="14" xfId="0" applyFont="1" applyFill="1" applyBorder="1" applyAlignment="1">
      <alignment horizontal="center"/>
    </xf>
    <xf numFmtId="0" fontId="53" fillId="38" borderId="1" xfId="0" applyFont="1" applyFill="1" applyBorder="1" applyAlignment="1">
      <alignment horizontal="center"/>
    </xf>
    <xf numFmtId="0" fontId="50" fillId="37" borderId="1" xfId="0" applyFont="1" applyFill="1" applyBorder="1" applyAlignment="1">
      <alignment horizontal="center"/>
    </xf>
    <xf numFmtId="0" fontId="55" fillId="0" borderId="1" xfId="0" applyFont="1" applyBorder="1" applyAlignment="1">
      <alignment horizontal="center"/>
    </xf>
    <xf numFmtId="0" fontId="53" fillId="16" borderId="14" xfId="0" applyFont="1" applyFill="1" applyBorder="1" applyAlignment="1">
      <alignment horizontal="center"/>
    </xf>
    <xf numFmtId="0" fontId="53" fillId="39" borderId="1" xfId="0" applyFont="1" applyFill="1" applyBorder="1" applyAlignment="1">
      <alignment horizontal="center"/>
    </xf>
    <xf numFmtId="0" fontId="53" fillId="39" borderId="14" xfId="0" applyFont="1" applyFill="1" applyBorder="1" applyAlignment="1">
      <alignment horizontal="center"/>
    </xf>
    <xf numFmtId="0" fontId="50" fillId="0" borderId="0" xfId="0" applyFont="1" applyAlignment="1">
      <alignment horizontal="center"/>
    </xf>
    <xf numFmtId="0" fontId="53" fillId="27" borderId="1" xfId="0" applyFont="1" applyFill="1" applyBorder="1" applyAlignment="1">
      <alignment horizontal="center"/>
    </xf>
    <xf numFmtId="0" fontId="53" fillId="27" borderId="14" xfId="0" applyFont="1" applyFill="1" applyBorder="1" applyAlignment="1">
      <alignment horizontal="center"/>
    </xf>
    <xf numFmtId="0" fontId="53" fillId="35" borderId="1" xfId="0" applyFont="1" applyFill="1" applyBorder="1" applyAlignment="1">
      <alignment horizontal="center"/>
    </xf>
    <xf numFmtId="0" fontId="53" fillId="35" borderId="14" xfId="0" applyFont="1" applyFill="1" applyBorder="1" applyAlignment="1">
      <alignment horizontal="center"/>
    </xf>
    <xf numFmtId="10" fontId="53" fillId="16" borderId="1" xfId="0" applyNumberFormat="1" applyFont="1" applyFill="1" applyBorder="1" applyAlignment="1">
      <alignment horizontal="center"/>
    </xf>
    <xf numFmtId="10" fontId="56" fillId="16" borderId="0" xfId="0" applyNumberFormat="1" applyFont="1" applyFill="1"/>
    <xf numFmtId="0" fontId="53" fillId="17" borderId="1" xfId="0" applyFont="1" applyFill="1" applyBorder="1" applyAlignment="1">
      <alignment horizontal="center"/>
    </xf>
    <xf numFmtId="0" fontId="53" fillId="17" borderId="14" xfId="0" applyFont="1" applyFill="1" applyBorder="1" applyAlignment="1">
      <alignment horizontal="center"/>
    </xf>
    <xf numFmtId="0" fontId="53" fillId="35" borderId="1" xfId="0" applyFont="1" applyFill="1" applyBorder="1"/>
    <xf numFmtId="10" fontId="56" fillId="16" borderId="1" xfId="0" applyNumberFormat="1" applyFont="1" applyFill="1" applyBorder="1" applyAlignment="1">
      <alignment horizontal="center"/>
    </xf>
    <xf numFmtId="0" fontId="57" fillId="0" borderId="1" xfId="0" applyFont="1" applyBorder="1" applyAlignment="1">
      <alignment horizontal="center"/>
    </xf>
    <xf numFmtId="0" fontId="53" fillId="0" borderId="14" xfId="0" applyFont="1" applyBorder="1" applyAlignment="1">
      <alignment horizontal="center"/>
    </xf>
    <xf numFmtId="0" fontId="53" fillId="39" borderId="36" xfId="0" applyFont="1" applyFill="1" applyBorder="1" applyAlignment="1">
      <alignment horizontal="center"/>
    </xf>
    <xf numFmtId="0" fontId="53" fillId="36" borderId="3" xfId="0" applyFont="1" applyFill="1" applyBorder="1" applyAlignment="1">
      <alignment horizontal="center"/>
    </xf>
    <xf numFmtId="0" fontId="53" fillId="0" borderId="14" xfId="0" applyFont="1" applyBorder="1"/>
    <xf numFmtId="0" fontId="53" fillId="27" borderId="36" xfId="0" applyFont="1" applyFill="1" applyBorder="1" applyAlignment="1">
      <alignment horizontal="center"/>
    </xf>
    <xf numFmtId="0" fontId="0" fillId="0" borderId="14" xfId="0" applyBorder="1" applyAlignment="1">
      <alignment horizontal="center" wrapText="1"/>
    </xf>
    <xf numFmtId="0" fontId="53" fillId="35" borderId="36" xfId="0" applyFont="1" applyFill="1" applyBorder="1" applyAlignment="1">
      <alignment horizontal="center"/>
    </xf>
    <xf numFmtId="0" fontId="54" fillId="0" borderId="0" xfId="0" applyFont="1" applyAlignment="1">
      <alignment horizontal="center"/>
    </xf>
    <xf numFmtId="0" fontId="50" fillId="16" borderId="0" xfId="0" applyFont="1" applyFill="1" applyAlignment="1">
      <alignment horizontal="center"/>
    </xf>
    <xf numFmtId="0" fontId="53" fillId="36" borderId="36" xfId="0" applyFont="1" applyFill="1" applyBorder="1" applyAlignment="1">
      <alignment horizontal="center"/>
    </xf>
    <xf numFmtId="0" fontId="50" fillId="21" borderId="1" xfId="0" applyFont="1" applyFill="1" applyBorder="1" applyAlignment="1">
      <alignment horizontal="center"/>
    </xf>
    <xf numFmtId="10" fontId="53" fillId="21" borderId="1" xfId="0" applyNumberFormat="1" applyFont="1" applyFill="1" applyBorder="1" applyAlignment="1">
      <alignment horizontal="center"/>
    </xf>
    <xf numFmtId="0" fontId="53" fillId="21" borderId="1" xfId="0" applyFont="1" applyFill="1" applyBorder="1" applyAlignment="1">
      <alignment horizontal="center"/>
    </xf>
    <xf numFmtId="0" fontId="24" fillId="27" borderId="34" xfId="0" applyFont="1" applyFill="1" applyBorder="1" applyAlignment="1" applyProtection="1">
      <alignment horizontal="center"/>
      <protection locked="0"/>
    </xf>
    <xf numFmtId="0" fontId="24" fillId="27" borderId="35" xfId="0" applyFont="1" applyFill="1" applyBorder="1" applyAlignment="1" applyProtection="1">
      <alignment horizontal="center"/>
      <protection locked="0"/>
    </xf>
    <xf numFmtId="0" fontId="24" fillId="27" borderId="36" xfId="0" applyFont="1" applyFill="1" applyBorder="1" applyAlignment="1" applyProtection="1">
      <alignment horizontal="center"/>
      <protection locked="0"/>
    </xf>
    <xf numFmtId="0" fontId="24" fillId="27" borderId="38" xfId="0" applyFont="1" applyFill="1" applyBorder="1" applyAlignment="1" applyProtection="1">
      <alignment horizontal="center"/>
      <protection locked="0"/>
    </xf>
    <xf numFmtId="0" fontId="24" fillId="27" borderId="26" xfId="0" applyFont="1" applyFill="1" applyBorder="1" applyAlignment="1" applyProtection="1">
      <alignment horizontal="center"/>
      <protection locked="0"/>
    </xf>
    <xf numFmtId="0" fontId="24" fillId="27" borderId="37" xfId="0" applyFont="1" applyFill="1" applyBorder="1" applyAlignment="1" applyProtection="1">
      <alignment horizontal="center"/>
      <protection locked="0"/>
    </xf>
    <xf numFmtId="0" fontId="24" fillId="27" borderId="0" xfId="0" applyFont="1" applyFill="1" applyAlignment="1" applyProtection="1">
      <alignment horizontal="center"/>
      <protection locked="0"/>
    </xf>
    <xf numFmtId="0" fontId="24" fillId="31" borderId="28" xfId="0" applyFont="1" applyFill="1" applyBorder="1" applyProtection="1">
      <protection locked="0"/>
    </xf>
    <xf numFmtId="0" fontId="24" fillId="40" borderId="0" xfId="0" applyFont="1" applyFill="1" applyProtection="1">
      <protection locked="0"/>
    </xf>
    <xf numFmtId="0" fontId="24" fillId="40" borderId="25" xfId="0" applyFont="1" applyFill="1" applyBorder="1" applyProtection="1">
      <protection locked="0"/>
    </xf>
    <xf numFmtId="0" fontId="24" fillId="40" borderId="26" xfId="0" applyFont="1" applyFill="1" applyBorder="1" applyProtection="1">
      <protection locked="0"/>
    </xf>
    <xf numFmtId="0" fontId="24" fillId="40" borderId="27" xfId="0" applyFont="1" applyFill="1" applyBorder="1" applyProtection="1">
      <protection locked="0"/>
    </xf>
    <xf numFmtId="0" fontId="30" fillId="0" borderId="3" xfId="0" applyFont="1" applyBorder="1" applyAlignment="1">
      <alignment horizontal="left" vertical="top" wrapText="1"/>
    </xf>
    <xf numFmtId="0" fontId="30" fillId="0" borderId="30" xfId="0" applyFont="1" applyBorder="1" applyAlignment="1">
      <alignment horizontal="left" vertical="top" wrapText="1"/>
    </xf>
    <xf numFmtId="0" fontId="32" fillId="0" borderId="0" xfId="0" applyFont="1" applyAlignment="1" applyProtection="1">
      <alignment vertical="center"/>
      <protection locked="0"/>
    </xf>
    <xf numFmtId="0" fontId="43" fillId="34" borderId="6" xfId="0" applyFont="1" applyFill="1" applyBorder="1" applyAlignment="1">
      <alignment vertical="top" wrapText="1"/>
    </xf>
    <xf numFmtId="0" fontId="43" fillId="34" borderId="8" xfId="0" applyFont="1" applyFill="1" applyBorder="1" applyAlignment="1">
      <alignment vertical="top" wrapText="1"/>
    </xf>
    <xf numFmtId="0" fontId="43" fillId="34" borderId="2" xfId="0" applyFont="1" applyFill="1" applyBorder="1" applyAlignment="1">
      <alignment vertical="top" wrapText="1"/>
    </xf>
    <xf numFmtId="0" fontId="44" fillId="0" borderId="6" xfId="0" applyFont="1" applyBorder="1" applyAlignment="1">
      <alignment horizontal="left" vertical="center" wrapText="1"/>
    </xf>
    <xf numFmtId="0" fontId="44" fillId="0" borderId="1" xfId="0" applyFont="1" applyBorder="1" applyAlignment="1">
      <alignment horizontal="left" vertical="center" wrapText="1"/>
    </xf>
    <xf numFmtId="0" fontId="44" fillId="0" borderId="8" xfId="0" applyFont="1" applyBorder="1" applyAlignment="1">
      <alignment horizontal="left" vertical="center" wrapText="1"/>
    </xf>
    <xf numFmtId="0" fontId="44" fillId="0" borderId="2" xfId="0" applyFont="1" applyBorder="1" applyAlignment="1">
      <alignment horizontal="left" vertical="center" wrapText="1"/>
    </xf>
    <xf numFmtId="0" fontId="44" fillId="0" borderId="6" xfId="0" applyFont="1" applyBorder="1" applyAlignment="1">
      <alignment vertical="center" wrapText="1"/>
    </xf>
    <xf numFmtId="0" fontId="44" fillId="0" borderId="1" xfId="0" applyFont="1" applyBorder="1" applyAlignment="1">
      <alignment vertical="center" wrapText="1"/>
    </xf>
    <xf numFmtId="0" fontId="44" fillId="0" borderId="16" xfId="0" applyFont="1" applyBorder="1" applyAlignment="1">
      <alignment wrapText="1"/>
    </xf>
    <xf numFmtId="0" fontId="44" fillId="0" borderId="3" xfId="0" applyFont="1" applyBorder="1" applyAlignment="1">
      <alignment wrapText="1"/>
    </xf>
    <xf numFmtId="0" fontId="44" fillId="0" borderId="34" xfId="0" applyFont="1" applyBorder="1" applyAlignment="1">
      <alignment horizontal="left" vertical="center" wrapText="1"/>
    </xf>
    <xf numFmtId="0" fontId="0" fillId="31" borderId="16" xfId="0" applyFill="1" applyBorder="1"/>
    <xf numFmtId="0" fontId="0" fillId="31" borderId="3" xfId="0" applyFill="1" applyBorder="1"/>
    <xf numFmtId="0" fontId="0" fillId="31" borderId="34" xfId="0" applyFill="1" applyBorder="1"/>
    <xf numFmtId="0" fontId="44" fillId="31" borderId="16" xfId="0" applyFont="1" applyFill="1" applyBorder="1" applyAlignment="1">
      <alignment horizontal="left" vertical="center" wrapText="1"/>
    </xf>
    <xf numFmtId="0" fontId="44" fillId="31" borderId="3" xfId="0" applyFont="1" applyFill="1" applyBorder="1" applyAlignment="1">
      <alignment horizontal="left" vertical="center" wrapText="1"/>
    </xf>
    <xf numFmtId="0" fontId="44" fillId="31" borderId="47" xfId="0" applyFont="1" applyFill="1" applyBorder="1" applyAlignment="1">
      <alignment horizontal="left" vertical="center" wrapText="1"/>
    </xf>
    <xf numFmtId="0" fontId="46" fillId="0" borderId="43" xfId="0" applyFont="1" applyBorder="1"/>
    <xf numFmtId="0" fontId="43" fillId="34" borderId="14" xfId="0" applyFont="1" applyFill="1" applyBorder="1" applyAlignment="1">
      <alignment vertical="top" wrapText="1"/>
    </xf>
    <xf numFmtId="0" fontId="44" fillId="0" borderId="14" xfId="0" applyFont="1" applyBorder="1" applyAlignment="1">
      <alignment vertical="center" wrapText="1"/>
    </xf>
    <xf numFmtId="0" fontId="44" fillId="0" borderId="14" xfId="0" applyFont="1" applyBorder="1" applyAlignment="1">
      <alignment horizontal="left" vertical="center" wrapText="1"/>
    </xf>
    <xf numFmtId="0" fontId="44" fillId="0" borderId="14" xfId="0" applyFont="1" applyBorder="1" applyAlignment="1">
      <alignment wrapText="1"/>
    </xf>
    <xf numFmtId="0" fontId="44" fillId="0" borderId="1" xfId="0" applyFont="1" applyBorder="1" applyAlignment="1">
      <alignment wrapText="1"/>
    </xf>
    <xf numFmtId="0" fontId="44" fillId="0" borderId="16" xfId="0" applyFont="1" applyBorder="1" applyAlignment="1">
      <alignment vertical="center" wrapText="1"/>
    </xf>
    <xf numFmtId="0" fontId="44" fillId="0" borderId="3" xfId="0" applyFont="1" applyBorder="1" applyAlignment="1">
      <alignment vertical="center" wrapText="1"/>
    </xf>
    <xf numFmtId="0" fontId="44" fillId="0" borderId="47" xfId="0" applyFont="1" applyBorder="1" applyAlignment="1">
      <alignment horizontal="left" vertical="center" wrapText="1"/>
    </xf>
    <xf numFmtId="0" fontId="44" fillId="0" borderId="36" xfId="0" applyFont="1" applyBorder="1" applyAlignment="1">
      <alignment wrapText="1"/>
    </xf>
    <xf numFmtId="0" fontId="44" fillId="0" borderId="36" xfId="0" applyFont="1" applyBorder="1" applyAlignment="1">
      <alignment vertical="center" wrapText="1"/>
    </xf>
    <xf numFmtId="0" fontId="46" fillId="0" borderId="65" xfId="0" applyFont="1" applyBorder="1" applyAlignment="1">
      <alignment horizontal="center"/>
    </xf>
    <xf numFmtId="0" fontId="45" fillId="0" borderId="65" xfId="0" applyFont="1" applyBorder="1" applyAlignment="1">
      <alignment horizontal="center" vertical="top" wrapText="1"/>
    </xf>
    <xf numFmtId="0" fontId="44" fillId="0" borderId="6" xfId="0" applyFont="1" applyBorder="1" applyAlignment="1">
      <alignment wrapText="1"/>
    </xf>
    <xf numFmtId="0" fontId="48" fillId="0" borderId="65" xfId="0" applyFont="1" applyBorder="1" applyAlignment="1">
      <alignment horizontal="center" wrapText="1"/>
    </xf>
    <xf numFmtId="0" fontId="30" fillId="0" borderId="44" xfId="0" applyFont="1" applyBorder="1" applyAlignment="1">
      <alignment horizontal="left" vertical="top" wrapText="1"/>
    </xf>
    <xf numFmtId="0" fontId="54" fillId="0" borderId="1" xfId="0" applyFont="1" applyBorder="1"/>
    <xf numFmtId="0" fontId="0" fillId="0" borderId="44" xfId="0" applyBorder="1"/>
    <xf numFmtId="0" fontId="53" fillId="0" borderId="1" xfId="0" applyFont="1" applyBorder="1" applyAlignment="1">
      <alignment horizontal="center"/>
    </xf>
    <xf numFmtId="0" fontId="58" fillId="0" borderId="1" xfId="0" applyFont="1" applyBorder="1" applyAlignment="1">
      <alignment horizontal="center"/>
    </xf>
    <xf numFmtId="0" fontId="2" fillId="0" borderId="79" xfId="0" applyFont="1" applyBorder="1" applyAlignment="1">
      <alignment horizontal="center" vertical="center"/>
    </xf>
    <xf numFmtId="0" fontId="2" fillId="0" borderId="80" xfId="0" applyFont="1" applyBorder="1" applyAlignment="1">
      <alignment horizontal="center"/>
    </xf>
    <xf numFmtId="0" fontId="2" fillId="0" borderId="80" xfId="0" applyFont="1" applyBorder="1" applyAlignment="1">
      <alignment horizontal="center" vertical="center"/>
    </xf>
    <xf numFmtId="0" fontId="0" fillId="0" borderId="4" xfId="0" applyBorder="1" applyAlignment="1">
      <alignment horizontal="center" vertical="center"/>
    </xf>
    <xf numFmtId="0" fontId="0" fillId="0" borderId="5" xfId="0" applyBorder="1"/>
    <xf numFmtId="0" fontId="0" fillId="0" borderId="5" xfId="0" applyBorder="1" applyAlignment="1">
      <alignment horizontal="center" vertical="center"/>
    </xf>
    <xf numFmtId="0" fontId="0" fillId="0" borderId="9" xfId="0" applyBorder="1" applyAlignment="1">
      <alignment vertical="center" wrapText="1"/>
    </xf>
    <xf numFmtId="0" fontId="0" fillId="0" borderId="5" xfId="0" applyBorder="1" applyAlignment="1">
      <alignment wrapText="1"/>
    </xf>
    <xf numFmtId="0" fontId="0" fillId="0" borderId="5" xfId="0" applyBorder="1" applyAlignment="1">
      <alignment vertical="center"/>
    </xf>
    <xf numFmtId="0" fontId="0" fillId="0" borderId="2" xfId="0" applyBorder="1" applyAlignment="1">
      <alignment wrapText="1"/>
    </xf>
    <xf numFmtId="0" fontId="0" fillId="0" borderId="9" xfId="0" applyBorder="1" applyAlignment="1">
      <alignment horizontal="left" vertical="center"/>
    </xf>
    <xf numFmtId="0" fontId="0" fillId="0" borderId="13" xfId="0" applyBorder="1" applyAlignment="1">
      <alignment horizontal="left" vertical="center"/>
    </xf>
    <xf numFmtId="0" fontId="0" fillId="0" borderId="5" xfId="0" applyBorder="1" applyAlignment="1">
      <alignment horizontal="left" vertical="center"/>
    </xf>
    <xf numFmtId="0" fontId="0" fillId="0" borderId="2" xfId="0" applyBorder="1" applyAlignment="1">
      <alignment horizontal="left" vertical="center"/>
    </xf>
    <xf numFmtId="0" fontId="18" fillId="0" borderId="1" xfId="0" applyFont="1" applyBorder="1" applyAlignment="1">
      <alignment horizontal="center"/>
    </xf>
    <xf numFmtId="0" fontId="18" fillId="0" borderId="24" xfId="0" applyFont="1" applyBorder="1" applyAlignment="1">
      <alignment horizontal="left"/>
    </xf>
    <xf numFmtId="0" fontId="25" fillId="0" borderId="39" xfId="0" applyFont="1" applyBorder="1" applyAlignment="1">
      <alignment horizontal="center"/>
    </xf>
    <xf numFmtId="0" fontId="25" fillId="0" borderId="0" xfId="0" applyFont="1" applyAlignment="1">
      <alignment horizontal="center"/>
    </xf>
    <xf numFmtId="0" fontId="32" fillId="0" borderId="0" xfId="0" applyFont="1" applyAlignment="1">
      <alignment horizontal="left"/>
    </xf>
    <xf numFmtId="0" fontId="18" fillId="0" borderId="8" xfId="0" applyFont="1" applyBorder="1" applyAlignment="1">
      <alignment horizontal="center"/>
    </xf>
    <xf numFmtId="0" fontId="18" fillId="0" borderId="14" xfId="0" applyFont="1" applyBorder="1" applyAlignment="1">
      <alignment horizontal="center"/>
    </xf>
    <xf numFmtId="0" fontId="18" fillId="0" borderId="0" xfId="0" applyFont="1" applyAlignment="1">
      <alignment horizontal="left"/>
    </xf>
    <xf numFmtId="0" fontId="24" fillId="17" borderId="37" xfId="0" applyFont="1" applyFill="1" applyBorder="1" applyAlignment="1" applyProtection="1">
      <alignment horizontal="center"/>
      <protection locked="0"/>
    </xf>
    <xf numFmtId="0" fontId="24" fillId="17" borderId="0" xfId="0" applyFont="1" applyFill="1" applyAlignment="1" applyProtection="1">
      <alignment horizontal="center"/>
      <protection locked="0"/>
    </xf>
    <xf numFmtId="0" fontId="24" fillId="17" borderId="25" xfId="0" applyFont="1" applyFill="1" applyBorder="1" applyAlignment="1" applyProtection="1">
      <alignment horizontal="center"/>
      <protection locked="0"/>
    </xf>
    <xf numFmtId="0" fontId="24" fillId="30" borderId="37" xfId="0" applyFont="1" applyFill="1" applyBorder="1" applyAlignment="1" applyProtection="1">
      <alignment horizontal="center"/>
      <protection locked="0"/>
    </xf>
    <xf numFmtId="0" fontId="24" fillId="30" borderId="0" xfId="0" applyFont="1" applyFill="1" applyAlignment="1" applyProtection="1">
      <alignment horizontal="center"/>
      <protection locked="0"/>
    </xf>
    <xf numFmtId="0" fontId="24" fillId="30" borderId="25" xfId="0" applyFont="1" applyFill="1" applyBorder="1" applyAlignment="1" applyProtection="1">
      <alignment horizontal="center"/>
      <protection locked="0"/>
    </xf>
    <xf numFmtId="0" fontId="24" fillId="18" borderId="37" xfId="0" applyFont="1" applyFill="1" applyBorder="1" applyAlignment="1" applyProtection="1">
      <alignment horizontal="center"/>
      <protection locked="0"/>
    </xf>
    <xf numFmtId="0" fontId="24" fillId="18" borderId="0" xfId="0" applyFont="1" applyFill="1" applyAlignment="1" applyProtection="1">
      <alignment horizontal="center"/>
      <protection locked="0"/>
    </xf>
    <xf numFmtId="0" fontId="24" fillId="18" borderId="25" xfId="0" applyFont="1" applyFill="1" applyBorder="1" applyAlignment="1" applyProtection="1">
      <alignment horizontal="center"/>
      <protection locked="0"/>
    </xf>
    <xf numFmtId="0" fontId="25" fillId="0" borderId="29" xfId="0" applyFont="1" applyBorder="1" applyAlignment="1">
      <alignment horizontal="center"/>
    </xf>
    <xf numFmtId="0" fontId="24" fillId="21" borderId="37" xfId="0" applyFont="1" applyFill="1" applyBorder="1" applyAlignment="1" applyProtection="1">
      <alignment horizontal="center"/>
      <protection locked="0"/>
    </xf>
    <xf numFmtId="0" fontId="24" fillId="21" borderId="0" xfId="0" applyFont="1" applyFill="1" applyAlignment="1" applyProtection="1">
      <alignment horizontal="center"/>
      <protection locked="0"/>
    </xf>
    <xf numFmtId="0" fontId="24" fillId="21" borderId="25" xfId="0" applyFont="1" applyFill="1" applyBorder="1" applyAlignment="1" applyProtection="1">
      <alignment horizontal="center"/>
      <protection locked="0"/>
    </xf>
    <xf numFmtId="0" fontId="24" fillId="23" borderId="37" xfId="0" applyFont="1" applyFill="1" applyBorder="1" applyAlignment="1" applyProtection="1">
      <alignment horizontal="center"/>
      <protection locked="0"/>
    </xf>
    <xf numFmtId="0" fontId="24" fillId="23" borderId="0" xfId="0" applyFont="1" applyFill="1" applyAlignment="1" applyProtection="1">
      <alignment horizontal="center"/>
      <protection locked="0"/>
    </xf>
    <xf numFmtId="0" fontId="24" fillId="23" borderId="25" xfId="0" applyFont="1" applyFill="1" applyBorder="1" applyAlignment="1" applyProtection="1">
      <alignment horizontal="center"/>
      <protection locked="0"/>
    </xf>
    <xf numFmtId="0" fontId="24" fillId="18" borderId="38" xfId="0" applyFont="1" applyFill="1" applyBorder="1" applyAlignment="1" applyProtection="1">
      <alignment horizontal="center"/>
      <protection locked="0"/>
    </xf>
    <xf numFmtId="0" fontId="24" fillId="18" borderId="26" xfId="0" applyFont="1" applyFill="1" applyBorder="1" applyAlignment="1" applyProtection="1">
      <alignment horizontal="center"/>
      <protection locked="0"/>
    </xf>
    <xf numFmtId="0" fontId="24" fillId="18" borderId="34" xfId="0" applyFont="1" applyFill="1" applyBorder="1" applyAlignment="1" applyProtection="1">
      <alignment horizontal="center"/>
      <protection locked="0"/>
    </xf>
    <xf numFmtId="0" fontId="24" fillId="18" borderId="35" xfId="0" applyFont="1" applyFill="1" applyBorder="1" applyAlignment="1" applyProtection="1">
      <alignment horizontal="center"/>
      <protection locked="0"/>
    </xf>
    <xf numFmtId="0" fontId="24" fillId="18" borderId="36" xfId="0" applyFont="1" applyFill="1" applyBorder="1" applyAlignment="1" applyProtection="1">
      <alignment horizontal="center"/>
      <protection locked="0"/>
    </xf>
    <xf numFmtId="0" fontId="24" fillId="17" borderId="34" xfId="0" applyFont="1" applyFill="1" applyBorder="1" applyAlignment="1" applyProtection="1">
      <alignment horizontal="center"/>
      <protection locked="0"/>
    </xf>
    <xf numFmtId="0" fontId="24" fillId="17" borderId="35" xfId="0" applyFont="1" applyFill="1" applyBorder="1" applyAlignment="1" applyProtection="1">
      <alignment horizontal="center"/>
      <protection locked="0"/>
    </xf>
    <xf numFmtId="0" fontId="24" fillId="17" borderId="36" xfId="0" applyFont="1" applyFill="1" applyBorder="1" applyAlignment="1" applyProtection="1">
      <alignment horizontal="center"/>
      <protection locked="0"/>
    </xf>
    <xf numFmtId="0" fontId="24" fillId="30" borderId="34" xfId="0" applyFont="1" applyFill="1" applyBorder="1" applyAlignment="1" applyProtection="1">
      <alignment horizontal="center"/>
      <protection locked="0"/>
    </xf>
    <xf numFmtId="0" fontId="24" fillId="30" borderId="35" xfId="0" applyFont="1" applyFill="1" applyBorder="1" applyAlignment="1" applyProtection="1">
      <alignment horizontal="center"/>
      <protection locked="0"/>
    </xf>
    <xf numFmtId="0" fontId="24" fillId="30" borderId="36" xfId="0" applyFont="1" applyFill="1" applyBorder="1" applyAlignment="1" applyProtection="1">
      <alignment horizontal="center"/>
      <protection locked="0"/>
    </xf>
    <xf numFmtId="0" fontId="24" fillId="21" borderId="34" xfId="0" applyFont="1" applyFill="1" applyBorder="1" applyAlignment="1" applyProtection="1">
      <alignment horizontal="center"/>
      <protection locked="0"/>
    </xf>
    <xf numFmtId="0" fontId="24" fillId="21" borderId="35" xfId="0" applyFont="1" applyFill="1" applyBorder="1" applyAlignment="1" applyProtection="1">
      <alignment horizontal="center"/>
      <protection locked="0"/>
    </xf>
    <xf numFmtId="0" fontId="24" fillId="21" borderId="36" xfId="0" applyFont="1" applyFill="1" applyBorder="1" applyAlignment="1" applyProtection="1">
      <alignment horizontal="center"/>
      <protection locked="0"/>
    </xf>
    <xf numFmtId="0" fontId="24" fillId="23" borderId="34" xfId="0" applyFont="1" applyFill="1" applyBorder="1" applyAlignment="1" applyProtection="1">
      <alignment horizontal="center"/>
      <protection locked="0"/>
    </xf>
    <xf numFmtId="0" fontId="24" fillId="23" borderId="35" xfId="0" applyFont="1" applyFill="1" applyBorder="1" applyAlignment="1" applyProtection="1">
      <alignment horizontal="center"/>
      <protection locked="0"/>
    </xf>
    <xf numFmtId="0" fontId="24" fillId="23" borderId="36" xfId="0" applyFont="1" applyFill="1" applyBorder="1" applyAlignment="1" applyProtection="1">
      <alignment horizontal="center"/>
      <protection locked="0"/>
    </xf>
    <xf numFmtId="0" fontId="24" fillId="17" borderId="38" xfId="0" applyFont="1" applyFill="1" applyBorder="1" applyAlignment="1" applyProtection="1">
      <alignment horizontal="center"/>
      <protection locked="0"/>
    </xf>
    <xf numFmtId="0" fontId="24" fillId="17" borderId="26" xfId="0" applyFont="1" applyFill="1" applyBorder="1" applyAlignment="1" applyProtection="1">
      <alignment horizontal="center"/>
      <protection locked="0"/>
    </xf>
    <xf numFmtId="0" fontId="24" fillId="30" borderId="38" xfId="0" applyFont="1" applyFill="1" applyBorder="1" applyAlignment="1" applyProtection="1">
      <alignment horizontal="center"/>
      <protection locked="0"/>
    </xf>
    <xf numFmtId="0" fontId="24" fillId="30" borderId="26" xfId="0" applyFont="1" applyFill="1" applyBorder="1" applyAlignment="1" applyProtection="1">
      <alignment horizontal="center"/>
      <protection locked="0"/>
    </xf>
    <xf numFmtId="0" fontId="24" fillId="23" borderId="38" xfId="0" applyFont="1" applyFill="1" applyBorder="1" applyAlignment="1" applyProtection="1">
      <alignment horizontal="center"/>
      <protection locked="0"/>
    </xf>
    <xf numFmtId="0" fontId="24" fillId="23" borderId="26" xfId="0" applyFont="1" applyFill="1" applyBorder="1" applyAlignment="1" applyProtection="1">
      <alignment horizontal="center"/>
      <protection locked="0"/>
    </xf>
    <xf numFmtId="0" fontId="24" fillId="40" borderId="37" xfId="0" applyFont="1" applyFill="1" applyBorder="1" applyAlignment="1" applyProtection="1">
      <alignment horizontal="center"/>
      <protection locked="0"/>
    </xf>
    <xf numFmtId="0" fontId="24" fillId="40" borderId="0" xfId="0" applyFont="1" applyFill="1" applyAlignment="1" applyProtection="1">
      <alignment horizontal="center"/>
      <protection locked="0"/>
    </xf>
    <xf numFmtId="0" fontId="24" fillId="40" borderId="25" xfId="0" applyFont="1" applyFill="1" applyBorder="1" applyAlignment="1" applyProtection="1">
      <alignment horizontal="center"/>
      <protection locked="0"/>
    </xf>
    <xf numFmtId="0" fontId="24" fillId="40" borderId="34" xfId="0" applyFont="1" applyFill="1" applyBorder="1" applyAlignment="1" applyProtection="1">
      <alignment horizontal="center"/>
      <protection locked="0"/>
    </xf>
    <xf numFmtId="0" fontId="24" fillId="40" borderId="35" xfId="0" applyFont="1" applyFill="1" applyBorder="1" applyAlignment="1" applyProtection="1">
      <alignment horizontal="center"/>
      <protection locked="0"/>
    </xf>
    <xf numFmtId="0" fontId="24" fillId="40" borderId="36" xfId="0" applyFont="1" applyFill="1" applyBorder="1" applyAlignment="1" applyProtection="1">
      <alignment horizontal="center"/>
      <protection locked="0"/>
    </xf>
    <xf numFmtId="0" fontId="14" fillId="28" borderId="34" xfId="0" applyFont="1" applyFill="1" applyBorder="1" applyAlignment="1" applyProtection="1">
      <alignment horizontal="center"/>
      <protection locked="0"/>
    </xf>
    <xf numFmtId="0" fontId="14" fillId="28" borderId="35" xfId="0" applyFont="1" applyFill="1" applyBorder="1" applyAlignment="1" applyProtection="1">
      <alignment horizontal="center"/>
      <protection locked="0"/>
    </xf>
    <xf numFmtId="0" fontId="14" fillId="28" borderId="36" xfId="0" applyFont="1" applyFill="1" applyBorder="1" applyAlignment="1" applyProtection="1">
      <alignment horizontal="center"/>
      <protection locked="0"/>
    </xf>
    <xf numFmtId="0" fontId="24" fillId="26" borderId="37" xfId="0" applyFont="1" applyFill="1" applyBorder="1" applyAlignment="1" applyProtection="1">
      <alignment horizontal="center"/>
      <protection locked="0"/>
    </xf>
    <xf numFmtId="0" fontId="24" fillId="26" borderId="0" xfId="0" applyFont="1" applyFill="1" applyAlignment="1" applyProtection="1">
      <alignment horizontal="center"/>
      <protection locked="0"/>
    </xf>
    <xf numFmtId="0" fontId="24" fillId="21" borderId="38" xfId="0" applyFont="1" applyFill="1" applyBorder="1" applyAlignment="1" applyProtection="1">
      <alignment horizontal="center"/>
      <protection locked="0"/>
    </xf>
    <xf numFmtId="0" fontId="24" fillId="21" borderId="26" xfId="0" applyFont="1" applyFill="1" applyBorder="1" applyAlignment="1" applyProtection="1">
      <alignment horizontal="center"/>
      <protection locked="0"/>
    </xf>
    <xf numFmtId="0" fontId="14" fillId="0" borderId="0" xfId="0" applyFont="1" applyAlignment="1" applyProtection="1">
      <alignment horizontal="center"/>
      <protection locked="0"/>
    </xf>
    <xf numFmtId="0" fontId="24" fillId="25" borderId="34" xfId="0" applyFont="1" applyFill="1" applyBorder="1" applyAlignment="1" applyProtection="1">
      <alignment horizontal="center"/>
      <protection locked="0"/>
    </xf>
    <xf numFmtId="0" fontId="24" fillId="25" borderId="35" xfId="0" applyFont="1" applyFill="1" applyBorder="1" applyAlignment="1" applyProtection="1">
      <alignment horizontal="center"/>
      <protection locked="0"/>
    </xf>
    <xf numFmtId="0" fontId="24" fillId="25" borderId="36" xfId="0" applyFont="1" applyFill="1" applyBorder="1" applyAlignment="1" applyProtection="1">
      <alignment horizontal="center"/>
      <protection locked="0"/>
    </xf>
    <xf numFmtId="0" fontId="24" fillId="25" borderId="37" xfId="0" applyFont="1" applyFill="1" applyBorder="1" applyAlignment="1" applyProtection="1">
      <alignment horizontal="center"/>
      <protection locked="0"/>
    </xf>
    <xf numFmtId="0" fontId="24" fillId="25" borderId="0" xfId="0" applyFont="1" applyFill="1" applyAlignment="1" applyProtection="1">
      <alignment horizontal="center"/>
      <protection locked="0"/>
    </xf>
    <xf numFmtId="0" fontId="24" fillId="25" borderId="25" xfId="0" applyFont="1" applyFill="1" applyBorder="1" applyAlignment="1" applyProtection="1">
      <alignment horizontal="center"/>
      <protection locked="0"/>
    </xf>
    <xf numFmtId="0" fontId="24" fillId="0" borderId="0" xfId="0" applyFont="1" applyAlignment="1" applyProtection="1">
      <alignment horizontal="center"/>
      <protection locked="0"/>
    </xf>
    <xf numFmtId="0" fontId="24" fillId="17" borderId="43" xfId="0" applyFont="1" applyFill="1" applyBorder="1" applyAlignment="1" applyProtection="1">
      <alignment horizontal="left"/>
      <protection locked="0"/>
    </xf>
    <xf numFmtId="0" fontId="24" fillId="17" borderId="41" xfId="0" applyFont="1" applyFill="1" applyBorder="1" applyAlignment="1" applyProtection="1">
      <alignment horizontal="left"/>
      <protection locked="0"/>
    </xf>
    <xf numFmtId="0" fontId="24" fillId="17" borderId="42" xfId="0" applyFont="1" applyFill="1" applyBorder="1" applyAlignment="1" applyProtection="1">
      <alignment horizontal="left"/>
      <protection locked="0"/>
    </xf>
    <xf numFmtId="0" fontId="15" fillId="2" borderId="40" xfId="0" applyFont="1" applyFill="1" applyBorder="1" applyAlignment="1">
      <alignment horizontal="center"/>
    </xf>
    <xf numFmtId="0" fontId="15" fillId="2" borderId="41" xfId="0" applyFont="1" applyFill="1" applyBorder="1" applyAlignment="1">
      <alignment horizontal="center"/>
    </xf>
    <xf numFmtId="0" fontId="15" fillId="2" borderId="42" xfId="0" applyFont="1" applyFill="1" applyBorder="1" applyAlignment="1">
      <alignment horizontal="center"/>
    </xf>
    <xf numFmtId="0" fontId="24" fillId="25" borderId="38" xfId="0" applyFont="1" applyFill="1" applyBorder="1" applyAlignment="1" applyProtection="1">
      <alignment horizontal="center"/>
      <protection locked="0"/>
    </xf>
    <xf numFmtId="0" fontId="24" fillId="25" borderId="26" xfId="0" applyFont="1" applyFill="1" applyBorder="1" applyAlignment="1" applyProtection="1">
      <alignment horizontal="center"/>
      <protection locked="0"/>
    </xf>
    <xf numFmtId="0" fontId="24" fillId="24" borderId="38" xfId="0" applyFont="1" applyFill="1" applyBorder="1" applyAlignment="1" applyProtection="1">
      <alignment horizontal="center"/>
      <protection locked="0"/>
    </xf>
    <xf numFmtId="0" fontId="24" fillId="24" borderId="26" xfId="0" applyFont="1" applyFill="1" applyBorder="1" applyAlignment="1" applyProtection="1">
      <alignment horizontal="center"/>
      <protection locked="0"/>
    </xf>
    <xf numFmtId="0" fontId="14" fillId="27" borderId="34" xfId="0" applyFont="1" applyFill="1" applyBorder="1" applyAlignment="1" applyProtection="1">
      <alignment horizontal="center"/>
      <protection locked="0"/>
    </xf>
    <xf numFmtId="0" fontId="14" fillId="27" borderId="35" xfId="0" applyFont="1" applyFill="1" applyBorder="1" applyAlignment="1" applyProtection="1">
      <alignment horizontal="center"/>
      <protection locked="0"/>
    </xf>
    <xf numFmtId="0" fontId="14" fillId="27" borderId="36" xfId="0" applyFont="1" applyFill="1" applyBorder="1" applyAlignment="1" applyProtection="1">
      <alignment horizontal="center"/>
      <protection locked="0"/>
    </xf>
    <xf numFmtId="0" fontId="24" fillId="24" borderId="34" xfId="0" applyFont="1" applyFill="1" applyBorder="1" applyAlignment="1" applyProtection="1">
      <alignment horizontal="center"/>
      <protection locked="0"/>
    </xf>
    <xf numFmtId="0" fontId="24" fillId="24" borderId="35" xfId="0" applyFont="1" applyFill="1" applyBorder="1" applyAlignment="1" applyProtection="1">
      <alignment horizontal="center"/>
      <protection locked="0"/>
    </xf>
    <xf numFmtId="0" fontId="24" fillId="24" borderId="36" xfId="0" applyFont="1" applyFill="1" applyBorder="1" applyAlignment="1" applyProtection="1">
      <alignment horizontal="center"/>
      <protection locked="0"/>
    </xf>
    <xf numFmtId="0" fontId="24" fillId="24" borderId="37" xfId="0" applyFont="1" applyFill="1" applyBorder="1" applyAlignment="1" applyProtection="1">
      <alignment horizontal="center"/>
      <protection locked="0"/>
    </xf>
    <xf numFmtId="0" fontId="24" fillId="24" borderId="0" xfId="0" applyFont="1" applyFill="1" applyAlignment="1" applyProtection="1">
      <alignment horizontal="center"/>
      <protection locked="0"/>
    </xf>
    <xf numFmtId="0" fontId="24" fillId="24" borderId="25" xfId="0" applyFont="1" applyFill="1" applyBorder="1" applyAlignment="1" applyProtection="1">
      <alignment horizontal="center"/>
      <protection locked="0"/>
    </xf>
    <xf numFmtId="0" fontId="24" fillId="22" borderId="37" xfId="0" applyFont="1" applyFill="1" applyBorder="1" applyAlignment="1" applyProtection="1">
      <alignment horizontal="center"/>
      <protection locked="0"/>
    </xf>
    <xf numFmtId="0" fontId="24" fillId="22" borderId="0" xfId="0" applyFont="1" applyFill="1" applyAlignment="1" applyProtection="1">
      <alignment horizontal="center"/>
      <protection locked="0"/>
    </xf>
    <xf numFmtId="0" fontId="24" fillId="26" borderId="38" xfId="0" applyFont="1" applyFill="1" applyBorder="1" applyAlignment="1" applyProtection="1">
      <alignment horizontal="center"/>
      <protection locked="0"/>
    </xf>
    <xf numFmtId="0" fontId="24" fillId="26" borderId="26" xfId="0" applyFont="1" applyFill="1" applyBorder="1" applyAlignment="1" applyProtection="1">
      <alignment horizontal="center"/>
      <protection locked="0"/>
    </xf>
    <xf numFmtId="0" fontId="24" fillId="26" borderId="25" xfId="0" applyFont="1" applyFill="1" applyBorder="1" applyAlignment="1" applyProtection="1">
      <alignment horizontal="center"/>
      <protection locked="0"/>
    </xf>
    <xf numFmtId="0" fontId="24" fillId="29" borderId="37" xfId="0" applyFont="1" applyFill="1" applyBorder="1" applyAlignment="1" applyProtection="1">
      <alignment horizontal="center"/>
      <protection locked="0"/>
    </xf>
    <xf numFmtId="0" fontId="24" fillId="29" borderId="0" xfId="0" applyFont="1" applyFill="1" applyAlignment="1" applyProtection="1">
      <alignment horizontal="center"/>
      <protection locked="0"/>
    </xf>
    <xf numFmtId="0" fontId="24" fillId="29" borderId="25" xfId="0" applyFont="1" applyFill="1" applyBorder="1" applyAlignment="1" applyProtection="1">
      <alignment horizontal="center"/>
      <protection locked="0"/>
    </xf>
    <xf numFmtId="0" fontId="24" fillId="26" borderId="34" xfId="0" applyFont="1" applyFill="1" applyBorder="1" applyAlignment="1" applyProtection="1">
      <alignment horizontal="center"/>
      <protection locked="0"/>
    </xf>
    <xf numFmtId="0" fontId="24" fillId="26" borderId="35" xfId="0" applyFont="1" applyFill="1" applyBorder="1" applyAlignment="1" applyProtection="1">
      <alignment horizontal="center"/>
      <protection locked="0"/>
    </xf>
    <xf numFmtId="0" fontId="24" fillId="26" borderId="36" xfId="0" applyFont="1" applyFill="1" applyBorder="1" applyAlignment="1" applyProtection="1">
      <alignment horizontal="center"/>
      <protection locked="0"/>
    </xf>
    <xf numFmtId="0" fontId="24" fillId="29" borderId="34" xfId="0" applyFont="1" applyFill="1" applyBorder="1" applyAlignment="1" applyProtection="1">
      <alignment horizontal="center"/>
      <protection locked="0"/>
    </xf>
    <xf numFmtId="0" fontId="24" fillId="29" borderId="35" xfId="0" applyFont="1" applyFill="1" applyBorder="1" applyAlignment="1" applyProtection="1">
      <alignment horizontal="center"/>
      <protection locked="0"/>
    </xf>
    <xf numFmtId="0" fontId="24" fillId="29" borderId="36" xfId="0" applyFont="1" applyFill="1" applyBorder="1" applyAlignment="1" applyProtection="1">
      <alignment horizontal="center"/>
      <protection locked="0"/>
    </xf>
    <xf numFmtId="0" fontId="14" fillId="0" borderId="37" xfId="0" applyFont="1" applyBorder="1" applyAlignment="1" applyProtection="1">
      <alignment horizontal="center"/>
      <protection locked="0"/>
    </xf>
    <xf numFmtId="0" fontId="14" fillId="0" borderId="25" xfId="0" applyFont="1" applyBorder="1" applyAlignment="1" applyProtection="1">
      <alignment horizontal="center"/>
      <protection locked="0"/>
    </xf>
    <xf numFmtId="0" fontId="14" fillId="28" borderId="37" xfId="0" applyFont="1" applyFill="1" applyBorder="1" applyAlignment="1" applyProtection="1">
      <alignment horizontal="center"/>
      <protection locked="0"/>
    </xf>
    <xf numFmtId="0" fontId="14" fillId="28" borderId="0" xfId="0" applyFont="1" applyFill="1" applyAlignment="1" applyProtection="1">
      <alignment horizontal="center"/>
      <protection locked="0"/>
    </xf>
    <xf numFmtId="0" fontId="14" fillId="28" borderId="25" xfId="0" applyFont="1" applyFill="1" applyBorder="1" applyAlignment="1" applyProtection="1">
      <alignment horizontal="center"/>
      <protection locked="0"/>
    </xf>
    <xf numFmtId="0" fontId="24" fillId="22" borderId="34" xfId="0" applyFont="1" applyFill="1" applyBorder="1" applyAlignment="1" applyProtection="1">
      <alignment horizontal="center"/>
      <protection locked="0"/>
    </xf>
    <xf numFmtId="0" fontId="24" fillId="22" borderId="35" xfId="0" applyFont="1" applyFill="1" applyBorder="1" applyAlignment="1" applyProtection="1">
      <alignment horizontal="center"/>
      <protection locked="0"/>
    </xf>
    <xf numFmtId="0" fontId="24" fillId="22" borderId="36" xfId="0" applyFont="1" applyFill="1" applyBorder="1" applyAlignment="1" applyProtection="1">
      <alignment horizontal="center"/>
      <protection locked="0"/>
    </xf>
    <xf numFmtId="0" fontId="24" fillId="22" borderId="25" xfId="0" applyFont="1" applyFill="1" applyBorder="1" applyAlignment="1" applyProtection="1">
      <alignment horizontal="center"/>
      <protection locked="0"/>
    </xf>
    <xf numFmtId="0" fontId="14" fillId="27" borderId="37" xfId="0" applyFont="1" applyFill="1" applyBorder="1" applyAlignment="1" applyProtection="1">
      <alignment horizontal="center"/>
      <protection locked="0"/>
    </xf>
    <xf numFmtId="0" fontId="14" fillId="27" borderId="0" xfId="0" applyFont="1" applyFill="1" applyAlignment="1" applyProtection="1">
      <alignment horizontal="center"/>
      <protection locked="0"/>
    </xf>
    <xf numFmtId="0" fontId="14" fillId="27" borderId="25" xfId="0" applyFont="1" applyFill="1" applyBorder="1" applyAlignment="1" applyProtection="1">
      <alignment horizontal="center"/>
      <protection locked="0"/>
    </xf>
    <xf numFmtId="0" fontId="14" fillId="0" borderId="34" xfId="0" applyFont="1" applyBorder="1" applyAlignment="1" applyProtection="1">
      <alignment horizontal="center"/>
      <protection locked="0"/>
    </xf>
    <xf numFmtId="0" fontId="14" fillId="0" borderId="35" xfId="0" applyFont="1" applyBorder="1" applyAlignment="1" applyProtection="1">
      <alignment horizontal="center"/>
      <protection locked="0"/>
    </xf>
    <xf numFmtId="0" fontId="14" fillId="0" borderId="36" xfId="0" applyFont="1" applyBorder="1" applyAlignment="1" applyProtection="1">
      <alignment horizontal="center"/>
      <protection locked="0"/>
    </xf>
    <xf numFmtId="0" fontId="14" fillId="27" borderId="38" xfId="0" applyFont="1" applyFill="1" applyBorder="1" applyAlignment="1" applyProtection="1">
      <alignment horizontal="center"/>
      <protection locked="0"/>
    </xf>
    <xf numFmtId="0" fontId="14" fillId="27" borderId="26" xfId="0" applyFont="1" applyFill="1" applyBorder="1" applyAlignment="1" applyProtection="1">
      <alignment horizontal="center"/>
      <protection locked="0"/>
    </xf>
    <xf numFmtId="0" fontId="24" fillId="22" borderId="38" xfId="0" applyFont="1" applyFill="1" applyBorder="1" applyAlignment="1" applyProtection="1">
      <alignment horizontal="center"/>
      <protection locked="0"/>
    </xf>
    <xf numFmtId="0" fontId="24" fillId="22" borderId="26" xfId="0" applyFont="1" applyFill="1" applyBorder="1" applyAlignment="1" applyProtection="1">
      <alignment horizontal="center"/>
      <protection locked="0"/>
    </xf>
    <xf numFmtId="0" fontId="24" fillId="40" borderId="38" xfId="0" applyFont="1" applyFill="1" applyBorder="1" applyAlignment="1" applyProtection="1">
      <alignment horizontal="center"/>
      <protection locked="0"/>
    </xf>
    <xf numFmtId="0" fontId="24" fillId="40" borderId="26" xfId="0" applyFont="1" applyFill="1" applyBorder="1" applyAlignment="1" applyProtection="1">
      <alignment horizontal="center"/>
      <protection locked="0"/>
    </xf>
    <xf numFmtId="0" fontId="14" fillId="26" borderId="37" xfId="0" applyFont="1" applyFill="1" applyBorder="1" applyAlignment="1" applyProtection="1">
      <alignment horizontal="center"/>
      <protection locked="0"/>
    </xf>
    <xf numFmtId="0" fontId="14" fillId="26" borderId="0" xfId="0" applyFont="1" applyFill="1" applyAlignment="1" applyProtection="1">
      <alignment horizontal="center"/>
      <protection locked="0"/>
    </xf>
    <xf numFmtId="0" fontId="14" fillId="26" borderId="34" xfId="0" applyFont="1" applyFill="1" applyBorder="1" applyAlignment="1" applyProtection="1">
      <alignment horizontal="center"/>
      <protection locked="0"/>
    </xf>
    <xf numFmtId="0" fontId="14" fillId="26" borderId="35" xfId="0" applyFont="1" applyFill="1" applyBorder="1" applyAlignment="1" applyProtection="1">
      <alignment horizontal="center"/>
      <protection locked="0"/>
    </xf>
    <xf numFmtId="0" fontId="14" fillId="26" borderId="36" xfId="0" applyFont="1" applyFill="1" applyBorder="1" applyAlignment="1" applyProtection="1">
      <alignment horizontal="center"/>
      <protection locked="0"/>
    </xf>
    <xf numFmtId="0" fontId="24" fillId="27" borderId="37" xfId="0" applyFont="1" applyFill="1" applyBorder="1" applyAlignment="1" applyProtection="1">
      <alignment horizontal="center"/>
      <protection locked="0"/>
    </xf>
    <xf numFmtId="0" fontId="24" fillId="27" borderId="0" xfId="0" applyFont="1" applyFill="1" applyAlignment="1" applyProtection="1">
      <alignment horizontal="center"/>
      <protection locked="0"/>
    </xf>
    <xf numFmtId="0" fontId="24" fillId="27" borderId="25" xfId="0" applyFont="1" applyFill="1" applyBorder="1" applyAlignment="1" applyProtection="1">
      <alignment horizontal="center"/>
      <protection locked="0"/>
    </xf>
    <xf numFmtId="0" fontId="14" fillId="26" borderId="25" xfId="0" applyFont="1" applyFill="1" applyBorder="1" applyAlignment="1" applyProtection="1">
      <alignment horizontal="center"/>
      <protection locked="0"/>
    </xf>
    <xf numFmtId="0" fontId="24" fillId="19" borderId="38" xfId="0" applyFont="1" applyFill="1" applyBorder="1" applyAlignment="1" applyProtection="1">
      <alignment horizontal="center"/>
      <protection locked="0"/>
    </xf>
    <xf numFmtId="0" fontId="24" fillId="19" borderId="26" xfId="0" applyFont="1" applyFill="1" applyBorder="1" applyAlignment="1" applyProtection="1">
      <alignment horizontal="center"/>
      <protection locked="0"/>
    </xf>
    <xf numFmtId="0" fontId="24" fillId="19" borderId="37" xfId="0" applyFont="1" applyFill="1" applyBorder="1" applyAlignment="1" applyProtection="1">
      <alignment horizontal="center"/>
      <protection locked="0"/>
    </xf>
    <xf numFmtId="0" fontId="24" fillId="19" borderId="0" xfId="0" applyFont="1" applyFill="1" applyAlignment="1" applyProtection="1">
      <alignment horizontal="center"/>
      <protection locked="0"/>
    </xf>
    <xf numFmtId="0" fontId="14" fillId="25" borderId="28" xfId="0" applyFont="1" applyFill="1" applyBorder="1" applyAlignment="1">
      <alignment horizontal="left"/>
    </xf>
    <xf numFmtId="0" fontId="24" fillId="29" borderId="38" xfId="0" applyFont="1" applyFill="1" applyBorder="1" applyAlignment="1" applyProtection="1">
      <alignment horizontal="center"/>
      <protection locked="0"/>
    </xf>
    <xf numFmtId="0" fontId="24" fillId="29" borderId="26" xfId="0" applyFont="1" applyFill="1" applyBorder="1" applyAlignment="1" applyProtection="1">
      <alignment horizontal="center"/>
      <protection locked="0"/>
    </xf>
    <xf numFmtId="0" fontId="24" fillId="19" borderId="25" xfId="0" applyFont="1" applyFill="1" applyBorder="1" applyAlignment="1" applyProtection="1">
      <alignment horizontal="center"/>
      <protection locked="0"/>
    </xf>
    <xf numFmtId="0" fontId="14" fillId="24" borderId="28" xfId="0" applyFont="1" applyFill="1" applyBorder="1" applyAlignment="1">
      <alignment horizontal="left"/>
    </xf>
    <xf numFmtId="0" fontId="24" fillId="19" borderId="34" xfId="0" applyFont="1" applyFill="1" applyBorder="1" applyAlignment="1" applyProtection="1">
      <alignment horizontal="center"/>
      <protection locked="0"/>
    </xf>
    <xf numFmtId="0" fontId="24" fillId="19" borderId="35" xfId="0" applyFont="1" applyFill="1" applyBorder="1" applyAlignment="1" applyProtection="1">
      <alignment horizontal="center"/>
      <protection locked="0"/>
    </xf>
    <xf numFmtId="0" fontId="24" fillId="19" borderId="36" xfId="0" applyFont="1" applyFill="1" applyBorder="1" applyAlignment="1" applyProtection="1">
      <alignment horizontal="center"/>
      <protection locked="0"/>
    </xf>
    <xf numFmtId="0" fontId="14" fillId="23" borderId="28" xfId="0" applyFont="1" applyFill="1" applyBorder="1" applyAlignment="1">
      <alignment horizontal="left"/>
    </xf>
    <xf numFmtId="0" fontId="14" fillId="26" borderId="38" xfId="0" applyFont="1" applyFill="1" applyBorder="1" applyAlignment="1" applyProtection="1">
      <alignment horizontal="center"/>
      <protection locked="0"/>
    </xf>
    <xf numFmtId="0" fontId="14" fillId="26" borderId="26" xfId="0" applyFont="1" applyFill="1" applyBorder="1" applyAlignment="1" applyProtection="1">
      <alignment horizontal="center"/>
      <protection locked="0"/>
    </xf>
    <xf numFmtId="0" fontId="14" fillId="0" borderId="38" xfId="0" applyFont="1" applyBorder="1" applyAlignment="1" applyProtection="1">
      <alignment horizontal="center"/>
      <protection locked="0"/>
    </xf>
    <xf numFmtId="0" fontId="14" fillId="0" borderId="26" xfId="0" applyFont="1" applyBorder="1" applyAlignment="1" applyProtection="1">
      <alignment horizontal="center"/>
      <protection locked="0"/>
    </xf>
    <xf numFmtId="0" fontId="14" fillId="21" borderId="28" xfId="0" applyFont="1" applyFill="1" applyBorder="1" applyAlignment="1">
      <alignment horizontal="left"/>
    </xf>
    <xf numFmtId="0" fontId="14" fillId="22" borderId="28" xfId="0" applyFont="1" applyFill="1" applyBorder="1" applyAlignment="1">
      <alignment horizontal="left"/>
    </xf>
    <xf numFmtId="0" fontId="14" fillId="28" borderId="38" xfId="0" applyFont="1" applyFill="1" applyBorder="1" applyAlignment="1" applyProtection="1">
      <alignment horizontal="center"/>
      <protection locked="0"/>
    </xf>
    <xf numFmtId="0" fontId="14" fillId="28" borderId="26" xfId="0" applyFont="1" applyFill="1" applyBorder="1" applyAlignment="1" applyProtection="1">
      <alignment horizontal="center"/>
      <protection locked="0"/>
    </xf>
    <xf numFmtId="0" fontId="14" fillId="26" borderId="40" xfId="0" applyFont="1" applyFill="1" applyBorder="1" applyAlignment="1">
      <alignment horizontal="left"/>
    </xf>
    <xf numFmtId="0" fontId="14" fillId="26" borderId="41" xfId="0" applyFont="1" applyFill="1" applyBorder="1" applyAlignment="1">
      <alignment horizontal="left"/>
    </xf>
    <xf numFmtId="0" fontId="14" fillId="26" borderId="42" xfId="0" applyFont="1" applyFill="1" applyBorder="1" applyAlignment="1">
      <alignment horizontal="left"/>
    </xf>
    <xf numFmtId="0" fontId="14" fillId="27" borderId="40" xfId="0" applyFont="1" applyFill="1" applyBorder="1" applyAlignment="1">
      <alignment horizontal="left"/>
    </xf>
    <xf numFmtId="0" fontId="14" fillId="27" borderId="41" xfId="0" applyFont="1" applyFill="1" applyBorder="1" applyAlignment="1">
      <alignment horizontal="left"/>
    </xf>
    <xf numFmtId="0" fontId="14" fillId="27" borderId="42" xfId="0" applyFont="1" applyFill="1" applyBorder="1" applyAlignment="1">
      <alignment horizontal="left"/>
    </xf>
    <xf numFmtId="0" fontId="14" fillId="20" borderId="40" xfId="0" applyFont="1" applyFill="1" applyBorder="1" applyAlignment="1">
      <alignment horizontal="left"/>
    </xf>
    <xf numFmtId="0" fontId="14" fillId="20" borderId="41" xfId="0" applyFont="1" applyFill="1" applyBorder="1" applyAlignment="1">
      <alignment horizontal="left"/>
    </xf>
    <xf numFmtId="0" fontId="14" fillId="20" borderId="42" xfId="0" applyFont="1" applyFill="1" applyBorder="1" applyAlignment="1">
      <alignment horizontal="left"/>
    </xf>
    <xf numFmtId="0" fontId="14" fillId="28" borderId="40" xfId="0" applyFont="1" applyFill="1" applyBorder="1" applyAlignment="1">
      <alignment horizontal="left"/>
    </xf>
    <xf numFmtId="0" fontId="14" fillId="28" borderId="41" xfId="0" applyFont="1" applyFill="1" applyBorder="1" applyAlignment="1">
      <alignment horizontal="left"/>
    </xf>
    <xf numFmtId="0" fontId="14" fillId="28" borderId="42" xfId="0" applyFont="1" applyFill="1" applyBorder="1" applyAlignment="1">
      <alignment horizontal="left"/>
    </xf>
    <xf numFmtId="0" fontId="25" fillId="0" borderId="1" xfId="0" applyFont="1" applyBorder="1" applyAlignment="1" applyProtection="1">
      <alignment horizontal="left" vertical="center"/>
      <protection locked="0"/>
    </xf>
    <xf numFmtId="0" fontId="24" fillId="0" borderId="1" xfId="0" applyFont="1" applyBorder="1" applyAlignment="1" applyProtection="1">
      <alignment horizontal="left" vertical="center"/>
      <protection locked="0"/>
    </xf>
    <xf numFmtId="0" fontId="14" fillId="29" borderId="40" xfId="0" applyFont="1" applyFill="1" applyBorder="1" applyAlignment="1">
      <alignment horizontal="left"/>
    </xf>
    <xf numFmtId="0" fontId="14" fillId="29" borderId="41" xfId="0" applyFont="1" applyFill="1" applyBorder="1" applyAlignment="1">
      <alignment horizontal="left"/>
    </xf>
    <xf numFmtId="0" fontId="14" fillId="29" borderId="42" xfId="0" applyFont="1" applyFill="1" applyBorder="1" applyAlignment="1">
      <alignment horizontal="left"/>
    </xf>
    <xf numFmtId="0" fontId="14" fillId="0" borderId="40" xfId="0" applyFont="1" applyBorder="1" applyAlignment="1">
      <alignment horizontal="left"/>
    </xf>
    <xf numFmtId="0" fontId="14" fillId="0" borderId="41" xfId="0" applyFont="1" applyBorder="1" applyAlignment="1">
      <alignment horizontal="left"/>
    </xf>
    <xf numFmtId="0" fontId="14" fillId="0" borderId="42" xfId="0" applyFont="1" applyBorder="1" applyAlignment="1">
      <alignment horizontal="left"/>
    </xf>
    <xf numFmtId="0" fontId="18" fillId="0" borderId="1" xfId="0" applyFont="1" applyBorder="1" applyAlignment="1" applyProtection="1">
      <alignment horizontal="center"/>
      <protection locked="0"/>
    </xf>
    <xf numFmtId="0" fontId="15" fillId="2" borderId="28" xfId="0" applyFont="1" applyFill="1" applyBorder="1" applyAlignment="1">
      <alignment horizontal="center"/>
    </xf>
    <xf numFmtId="0" fontId="25" fillId="0" borderId="1" xfId="0" applyFont="1" applyBorder="1" applyAlignment="1" applyProtection="1">
      <alignment horizontal="center" vertical="center"/>
      <protection locked="0"/>
    </xf>
    <xf numFmtId="0" fontId="25" fillId="0" borderId="1" xfId="0" applyFont="1" applyBorder="1" applyAlignment="1" applyProtection="1">
      <alignment horizontal="center"/>
      <protection locked="0"/>
    </xf>
    <xf numFmtId="0" fontId="24" fillId="0" borderId="1" xfId="0" applyFont="1" applyBorder="1" applyAlignment="1" applyProtection="1">
      <alignment horizontal="left" vertical="center" wrapText="1"/>
      <protection locked="0"/>
    </xf>
    <xf numFmtId="0" fontId="24" fillId="0" borderId="1" xfId="0" applyFont="1" applyBorder="1" applyAlignment="1">
      <alignment horizontal="center"/>
    </xf>
    <xf numFmtId="0" fontId="24" fillId="0" borderId="0" xfId="0" applyFont="1" applyAlignment="1" applyProtection="1">
      <alignment horizontal="right"/>
      <protection locked="0"/>
    </xf>
    <xf numFmtId="0" fontId="24" fillId="0" borderId="25" xfId="0" applyFont="1" applyBorder="1" applyAlignment="1" applyProtection="1">
      <alignment horizontal="right"/>
      <protection locked="0"/>
    </xf>
    <xf numFmtId="0" fontId="25" fillId="0" borderId="0" xfId="0" applyFont="1" applyAlignment="1" applyProtection="1">
      <alignment horizontal="right"/>
      <protection locked="0"/>
    </xf>
    <xf numFmtId="0" fontId="25" fillId="0" borderId="25" xfId="0" applyFont="1" applyBorder="1" applyAlignment="1" applyProtection="1">
      <alignment horizontal="right"/>
      <protection locked="0"/>
    </xf>
    <xf numFmtId="0" fontId="25" fillId="0" borderId="1" xfId="0" applyFont="1" applyBorder="1" applyAlignment="1">
      <alignment horizontal="center"/>
    </xf>
    <xf numFmtId="0" fontId="25" fillId="0" borderId="3" xfId="0" applyFont="1" applyBorder="1" applyAlignment="1">
      <alignment horizontal="center"/>
    </xf>
    <xf numFmtId="0" fontId="24" fillId="0" borderId="17" xfId="0" applyFont="1" applyBorder="1" applyAlignment="1">
      <alignment horizontal="center"/>
    </xf>
    <xf numFmtId="0" fontId="24" fillId="0" borderId="14" xfId="0" applyFont="1" applyBorder="1" applyAlignment="1">
      <alignment horizontal="center"/>
    </xf>
    <xf numFmtId="0" fontId="24" fillId="0" borderId="0" xfId="0" applyFont="1" applyAlignment="1">
      <alignment horizontal="right"/>
    </xf>
    <xf numFmtId="0" fontId="24" fillId="0" borderId="0" xfId="0" applyFont="1" applyAlignment="1">
      <alignment horizontal="center"/>
    </xf>
    <xf numFmtId="0" fontId="24" fillId="0" borderId="24" xfId="0" applyFont="1" applyBorder="1" applyAlignment="1">
      <alignment horizontal="right"/>
    </xf>
    <xf numFmtId="0" fontId="24" fillId="0" borderId="24" xfId="0" applyFont="1" applyBorder="1" applyAlignment="1">
      <alignment horizontal="center"/>
    </xf>
    <xf numFmtId="0" fontId="45" fillId="0" borderId="40" xfId="0" applyFont="1" applyBorder="1" applyAlignment="1">
      <alignment wrapText="1"/>
    </xf>
    <xf numFmtId="0" fontId="45" fillId="0" borderId="73" xfId="0" applyFont="1" applyBorder="1" applyAlignment="1">
      <alignment wrapText="1"/>
    </xf>
    <xf numFmtId="0" fontId="45" fillId="0" borderId="72" xfId="0" applyFont="1" applyBorder="1" applyAlignment="1">
      <alignment wrapText="1"/>
    </xf>
    <xf numFmtId="0" fontId="47" fillId="0" borderId="51" xfId="0" applyFont="1" applyBorder="1" applyAlignment="1">
      <alignment horizontal="center" wrapText="1"/>
    </xf>
    <xf numFmtId="0" fontId="47" fillId="0" borderId="24" xfId="0" applyFont="1" applyBorder="1" applyAlignment="1">
      <alignment horizontal="center" wrapText="1"/>
    </xf>
    <xf numFmtId="0" fontId="47" fillId="0" borderId="32" xfId="0" applyFont="1" applyBorder="1" applyAlignment="1">
      <alignment horizontal="center" wrapText="1"/>
    </xf>
    <xf numFmtId="0" fontId="48" fillId="0" borderId="74" xfId="0" applyFont="1" applyBorder="1" applyAlignment="1">
      <alignment horizontal="center" wrapText="1"/>
    </xf>
    <xf numFmtId="0" fontId="48" fillId="0" borderId="67" xfId="0" applyFont="1" applyBorder="1" applyAlignment="1">
      <alignment horizontal="center" wrapText="1"/>
    </xf>
    <xf numFmtId="0" fontId="48" fillId="0" borderId="75" xfId="0" applyFont="1" applyBorder="1" applyAlignment="1">
      <alignment horizontal="center" wrapText="1"/>
    </xf>
    <xf numFmtId="0" fontId="10" fillId="0" borderId="0" xfId="0" applyFont="1" applyAlignment="1">
      <alignment horizontal="justify" vertical="top"/>
    </xf>
    <xf numFmtId="0" fontId="8" fillId="0" borderId="0" xfId="0" applyFont="1" applyAlignment="1">
      <alignment horizontal="center"/>
    </xf>
    <xf numFmtId="0" fontId="37" fillId="0" borderId="0" xfId="0" applyFont="1" applyAlignment="1">
      <alignment horizontal="center"/>
    </xf>
    <xf numFmtId="0" fontId="38" fillId="0" borderId="0" xfId="0" applyFont="1" applyAlignment="1">
      <alignment horizontal="center"/>
    </xf>
    <xf numFmtId="0" fontId="6" fillId="0" borderId="0" xfId="0" applyFont="1" applyAlignment="1">
      <alignment horizontal="center"/>
    </xf>
    <xf numFmtId="0" fontId="11" fillId="0" borderId="0" xfId="0" applyFont="1" applyAlignment="1">
      <alignment horizontal="center"/>
    </xf>
    <xf numFmtId="0" fontId="47" fillId="0" borderId="69" xfId="0" applyFont="1" applyBorder="1" applyAlignment="1">
      <alignment horizontal="center" wrapText="1"/>
    </xf>
    <xf numFmtId="0" fontId="47" fillId="0" borderId="0" xfId="0" applyFont="1" applyAlignment="1">
      <alignment horizontal="center" wrapText="1"/>
    </xf>
    <xf numFmtId="0" fontId="47" fillId="0" borderId="31" xfId="0" applyFont="1" applyBorder="1" applyAlignment="1">
      <alignment horizontal="center" wrapText="1"/>
    </xf>
    <xf numFmtId="0" fontId="39" fillId="0" borderId="52" xfId="0" applyFont="1" applyBorder="1" applyAlignment="1">
      <alignment horizontal="center" vertical="top" wrapText="1"/>
    </xf>
    <xf numFmtId="0" fontId="39" fillId="0" borderId="53" xfId="0" applyFont="1" applyBorder="1" applyAlignment="1">
      <alignment horizontal="center" vertical="top" wrapText="1"/>
    </xf>
    <xf numFmtId="0" fontId="39" fillId="0" borderId="54" xfId="0" applyFont="1" applyBorder="1" applyAlignment="1">
      <alignment horizontal="center" vertical="top" wrapText="1"/>
    </xf>
    <xf numFmtId="0" fontId="40" fillId="0" borderId="55" xfId="0" applyFont="1" applyBorder="1" applyAlignment="1">
      <alignment horizontal="center" vertical="top" wrapText="1"/>
    </xf>
    <xf numFmtId="0" fontId="40" fillId="0" borderId="56" xfId="0" applyFont="1" applyBorder="1" applyAlignment="1">
      <alignment horizontal="center" vertical="top" wrapText="1"/>
    </xf>
    <xf numFmtId="0" fontId="40" fillId="0" borderId="57" xfId="0" applyFont="1" applyBorder="1" applyAlignment="1">
      <alignment horizontal="center" vertical="top" wrapText="1"/>
    </xf>
    <xf numFmtId="0" fontId="41" fillId="0" borderId="58" xfId="0" applyFont="1" applyBorder="1" applyAlignment="1">
      <alignment horizontal="center" vertical="top" wrapText="1"/>
    </xf>
    <xf numFmtId="0" fontId="41" fillId="0" borderId="0" xfId="0" applyFont="1" applyAlignment="1">
      <alignment horizontal="center" vertical="top" wrapText="1"/>
    </xf>
    <xf numFmtId="0" fontId="41" fillId="0" borderId="59" xfId="0" applyFont="1" applyBorder="1" applyAlignment="1">
      <alignment horizontal="center" vertical="top" wrapText="1"/>
    </xf>
    <xf numFmtId="0" fontId="40" fillId="0" borderId="58" xfId="0" applyFont="1" applyBorder="1" applyAlignment="1">
      <alignment horizontal="center" vertical="top" wrapText="1"/>
    </xf>
    <xf numFmtId="0" fontId="40" fillId="0" borderId="0" xfId="0" applyFont="1" applyAlignment="1">
      <alignment horizontal="center" vertical="top" wrapText="1"/>
    </xf>
    <xf numFmtId="0" fontId="40" fillId="0" borderId="59" xfId="0" applyFont="1" applyBorder="1" applyAlignment="1">
      <alignment horizontal="center" vertical="top" wrapText="1"/>
    </xf>
    <xf numFmtId="0" fontId="42" fillId="0" borderId="4" xfId="0" applyFont="1" applyBorder="1" applyAlignment="1">
      <alignment horizontal="center" vertical="top" wrapText="1"/>
    </xf>
    <xf numFmtId="0" fontId="42" fillId="0" borderId="5" xfId="0" applyFont="1" applyBorder="1" applyAlignment="1">
      <alignment horizontal="center" vertical="top" wrapText="1"/>
    </xf>
    <xf numFmtId="0" fontId="42" fillId="0" borderId="7" xfId="0" applyFont="1" applyBorder="1" applyAlignment="1">
      <alignment horizontal="center" vertical="top" wrapText="1"/>
    </xf>
    <xf numFmtId="0" fontId="42" fillId="0" borderId="9" xfId="0" applyFont="1" applyBorder="1" applyAlignment="1">
      <alignment horizontal="center" vertical="top" wrapText="1"/>
    </xf>
    <xf numFmtId="0" fontId="45" fillId="0" borderId="64" xfId="0" applyFont="1" applyBorder="1" applyAlignment="1">
      <alignment vertical="top" wrapText="1"/>
    </xf>
    <xf numFmtId="0" fontId="45" fillId="0" borderId="76" xfId="0" applyFont="1" applyBorder="1" applyAlignment="1">
      <alignment vertical="top" wrapText="1"/>
    </xf>
    <xf numFmtId="0" fontId="47" fillId="0" borderId="66" xfId="0" applyFont="1" applyBorder="1" applyAlignment="1">
      <alignment horizontal="center" wrapText="1"/>
    </xf>
    <xf numFmtId="0" fontId="47" fillId="0" borderId="67" xfId="0" applyFont="1" applyBorder="1" applyAlignment="1">
      <alignment horizontal="center" wrapText="1"/>
    </xf>
    <xf numFmtId="0" fontId="47" fillId="0" borderId="68" xfId="0" applyFont="1" applyBorder="1" applyAlignment="1">
      <alignment horizontal="center" wrapText="1"/>
    </xf>
    <xf numFmtId="0" fontId="41" fillId="0" borderId="69" xfId="0" applyFont="1" applyBorder="1" applyAlignment="1">
      <alignment horizontal="center" wrapText="1"/>
    </xf>
    <xf numFmtId="0" fontId="41" fillId="0" borderId="0" xfId="0" applyFont="1" applyAlignment="1">
      <alignment horizontal="center" wrapText="1"/>
    </xf>
    <xf numFmtId="0" fontId="41" fillId="0" borderId="31" xfId="0" applyFont="1" applyBorder="1" applyAlignment="1">
      <alignment horizontal="center" wrapText="1"/>
    </xf>
    <xf numFmtId="0" fontId="42" fillId="0" borderId="4" xfId="0" applyFont="1" applyBorder="1" applyAlignment="1">
      <alignment horizontal="center" wrapText="1"/>
    </xf>
    <xf numFmtId="0" fontId="42" fillId="0" borderId="5" xfId="0" applyFont="1" applyBorder="1" applyAlignment="1">
      <alignment horizontal="center" wrapText="1"/>
    </xf>
    <xf numFmtId="0" fontId="42" fillId="0" borderId="9" xfId="0" applyFont="1" applyBorder="1" applyAlignment="1">
      <alignment horizontal="center" wrapText="1"/>
    </xf>
    <xf numFmtId="0" fontId="42" fillId="0" borderId="77" xfId="0" applyFont="1" applyBorder="1" applyAlignment="1">
      <alignment horizontal="center" vertical="top" wrapText="1"/>
    </xf>
    <xf numFmtId="0" fontId="45" fillId="0" borderId="78" xfId="0" applyFont="1" applyBorder="1" applyAlignment="1">
      <alignment vertical="top" wrapText="1"/>
    </xf>
    <xf numFmtId="0" fontId="41" fillId="0" borderId="58" xfId="0" applyFont="1" applyBorder="1" applyAlignment="1">
      <alignment horizontal="center" wrapText="1"/>
    </xf>
    <xf numFmtId="0" fontId="41" fillId="0" borderId="59" xfId="0" applyFont="1" applyBorder="1" applyAlignment="1">
      <alignment horizontal="center" wrapText="1"/>
    </xf>
    <xf numFmtId="0" fontId="48" fillId="0" borderId="4" xfId="0" applyFont="1" applyBorder="1" applyAlignment="1">
      <alignment horizontal="center" wrapText="1"/>
    </xf>
    <xf numFmtId="0" fontId="48" fillId="0" borderId="5" xfId="0" applyFont="1" applyBorder="1" applyAlignment="1">
      <alignment horizontal="center" wrapText="1"/>
    </xf>
    <xf numFmtId="0" fontId="48" fillId="0" borderId="9" xfId="0" applyFont="1" applyBorder="1" applyAlignment="1">
      <alignment horizontal="center" wrapText="1"/>
    </xf>
    <xf numFmtId="0" fontId="48" fillId="0" borderId="77" xfId="0" applyFont="1" applyBorder="1" applyAlignment="1">
      <alignment horizontal="center" wrapText="1"/>
    </xf>
    <xf numFmtId="0" fontId="47" fillId="0" borderId="55" xfId="0" applyFont="1" applyBorder="1" applyAlignment="1">
      <alignment horizontal="center" wrapText="1"/>
    </xf>
    <xf numFmtId="0" fontId="47" fillId="0" borderId="56" xfId="0" applyFont="1" applyBorder="1" applyAlignment="1">
      <alignment horizontal="center" wrapText="1"/>
    </xf>
    <xf numFmtId="0" fontId="47" fillId="0" borderId="57" xfId="0" applyFont="1" applyBorder="1" applyAlignment="1">
      <alignment horizontal="center" wrapText="1"/>
    </xf>
    <xf numFmtId="0" fontId="45" fillId="0" borderId="64" xfId="0" applyFont="1" applyBorder="1" applyAlignment="1">
      <alignment wrapText="1"/>
    </xf>
    <xf numFmtId="0" fontId="45" fillId="0" borderId="76" xfId="0" applyFont="1" applyBorder="1" applyAlignment="1">
      <alignment wrapText="1"/>
    </xf>
    <xf numFmtId="0" fontId="45" fillId="0" borderId="78" xfId="0" applyFont="1" applyBorder="1" applyAlignment="1">
      <alignment wrapText="1"/>
    </xf>
    <xf numFmtId="0" fontId="47" fillId="0" borderId="60" xfId="0" applyFont="1" applyBorder="1" applyAlignment="1">
      <alignment horizontal="center" wrapText="1"/>
    </xf>
    <xf numFmtId="0" fontId="47" fillId="0" borderId="61" xfId="0" applyFont="1" applyBorder="1" applyAlignment="1">
      <alignment horizontal="center" wrapText="1"/>
    </xf>
    <xf numFmtId="0" fontId="47" fillId="0" borderId="62" xfId="0" applyFont="1" applyBorder="1" applyAlignment="1">
      <alignment horizontal="center" wrapText="1"/>
    </xf>
    <xf numFmtId="0" fontId="48" fillId="0" borderId="55" xfId="0" applyFont="1" applyBorder="1" applyAlignment="1">
      <alignment horizontal="center" wrapText="1"/>
    </xf>
    <xf numFmtId="0" fontId="48" fillId="0" borderId="56" xfId="0" applyFont="1" applyBorder="1" applyAlignment="1">
      <alignment horizontal="center" wrapText="1"/>
    </xf>
    <xf numFmtId="0" fontId="48" fillId="0" borderId="57" xfId="0" applyFont="1" applyBorder="1" applyAlignment="1">
      <alignment horizontal="center" wrapText="1"/>
    </xf>
    <xf numFmtId="0" fontId="34" fillId="0" borderId="69" xfId="0" applyFont="1" applyBorder="1" applyAlignment="1">
      <alignment horizontal="center" wrapText="1"/>
    </xf>
    <xf numFmtId="0" fontId="34" fillId="0" borderId="0" xfId="0" applyFont="1" applyAlignment="1">
      <alignment horizontal="center" wrapText="1"/>
    </xf>
    <xf numFmtId="0" fontId="34" fillId="0" borderId="31" xfId="0" applyFont="1" applyBorder="1" applyAlignment="1">
      <alignment horizontal="center" wrapText="1"/>
    </xf>
    <xf numFmtId="0" fontId="30" fillId="0" borderId="45" xfId="0" applyFont="1" applyBorder="1" applyAlignment="1">
      <alignment horizontal="center" vertical="center" wrapText="1"/>
    </xf>
    <xf numFmtId="0" fontId="30" fillId="0" borderId="33" xfId="0" applyFont="1" applyBorder="1" applyAlignment="1">
      <alignment horizontal="center" vertical="center" wrapText="1"/>
    </xf>
    <xf numFmtId="0" fontId="5" fillId="0" borderId="45" xfId="0" applyFont="1" applyBorder="1" applyAlignment="1">
      <alignment horizontal="center" vertical="center" wrapText="1"/>
    </xf>
    <xf numFmtId="0" fontId="5" fillId="0" borderId="33" xfId="0" applyFont="1" applyBorder="1" applyAlignment="1">
      <alignment horizontal="center" vertical="center" wrapText="1"/>
    </xf>
    <xf numFmtId="0" fontId="0" fillId="0" borderId="45" xfId="0" applyBorder="1" applyAlignment="1">
      <alignment horizontal="justify" vertical="center" wrapText="1"/>
    </xf>
    <xf numFmtId="0" fontId="0" fillId="0" borderId="33" xfId="0" applyBorder="1" applyAlignment="1">
      <alignment horizontal="justify" vertical="center" wrapText="1"/>
    </xf>
    <xf numFmtId="0" fontId="1" fillId="0" borderId="1" xfId="0" applyFont="1" applyBorder="1" applyAlignment="1">
      <alignment horizontal="center" vertical="center"/>
    </xf>
    <xf numFmtId="0" fontId="30" fillId="0" borderId="46" xfId="0" applyFont="1" applyBorder="1" applyAlignment="1">
      <alignment horizontal="center" vertical="center" wrapText="1"/>
    </xf>
    <xf numFmtId="0" fontId="5" fillId="0" borderId="46" xfId="0" applyFont="1" applyBorder="1" applyAlignment="1">
      <alignment horizontal="center" vertical="center" wrapText="1"/>
    </xf>
    <xf numFmtId="0" fontId="0" fillId="0" borderId="45" xfId="0" applyBorder="1" applyAlignment="1">
      <alignment vertical="center" wrapText="1"/>
    </xf>
    <xf numFmtId="0" fontId="0" fillId="0" borderId="33" xfId="0" applyBorder="1" applyAlignment="1">
      <alignment vertical="center" wrapText="1"/>
    </xf>
    <xf numFmtId="0" fontId="1" fillId="0" borderId="8" xfId="0" applyFont="1" applyBorder="1" applyAlignment="1">
      <alignment horizontal="center" vertical="center"/>
    </xf>
    <xf numFmtId="0" fontId="1" fillId="0" borderId="17" xfId="0" applyFont="1" applyBorder="1" applyAlignment="1">
      <alignment horizontal="center" vertical="center"/>
    </xf>
    <xf numFmtId="0" fontId="1" fillId="0" borderId="14" xfId="0" applyFont="1" applyBorder="1" applyAlignment="1">
      <alignment horizontal="center" vertical="center"/>
    </xf>
    <xf numFmtId="0" fontId="17" fillId="0" borderId="1" xfId="0" applyFont="1" applyBorder="1" applyAlignment="1">
      <alignment horizontal="center" vertical="center"/>
    </xf>
    <xf numFmtId="0" fontId="12" fillId="32" borderId="1" xfId="0" applyFont="1" applyFill="1" applyBorder="1" applyAlignment="1">
      <alignment horizontal="center" vertical="center"/>
    </xf>
    <xf numFmtId="0" fontId="33" fillId="33" borderId="1" xfId="0" applyFont="1" applyFill="1" applyBorder="1" applyAlignment="1">
      <alignment horizontal="center" vertical="center"/>
    </xf>
    <xf numFmtId="0" fontId="12" fillId="32" borderId="8" xfId="0" applyFont="1" applyFill="1" applyBorder="1" applyAlignment="1">
      <alignment horizontal="center" vertical="center"/>
    </xf>
    <xf numFmtId="0" fontId="12" fillId="32" borderId="17" xfId="0" applyFont="1" applyFill="1" applyBorder="1" applyAlignment="1">
      <alignment horizontal="center" vertical="center"/>
    </xf>
    <xf numFmtId="0" fontId="12" fillId="32" borderId="14" xfId="0" applyFont="1" applyFill="1" applyBorder="1"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51" fillId="35" borderId="0" xfId="0" applyFont="1" applyFill="1" applyAlignment="1">
      <alignment horizontal="center"/>
    </xf>
    <xf numFmtId="0" fontId="51" fillId="35" borderId="1" xfId="0" applyFont="1" applyFill="1" applyBorder="1" applyAlignment="1">
      <alignment horizontal="center"/>
    </xf>
    <xf numFmtId="0" fontId="11" fillId="12" borderId="7" xfId="0" applyFont="1" applyFill="1" applyBorder="1" applyAlignment="1">
      <alignment horizontal="center"/>
    </xf>
    <xf numFmtId="0" fontId="11" fillId="12" borderId="49" xfId="0" applyFont="1" applyFill="1" applyBorder="1" applyAlignment="1">
      <alignment horizontal="center"/>
    </xf>
    <xf numFmtId="0" fontId="11" fillId="12" borderId="50" xfId="0" applyFont="1" applyFill="1" applyBorder="1" applyAlignment="1">
      <alignment horizontal="center"/>
    </xf>
    <xf numFmtId="0" fontId="11" fillId="6" borderId="51" xfId="0" applyFont="1" applyFill="1" applyBorder="1" applyAlignment="1">
      <alignment horizontal="center"/>
    </xf>
    <xf numFmtId="0" fontId="11" fillId="6" borderId="24" xfId="0" applyFont="1" applyFill="1" applyBorder="1" applyAlignment="1">
      <alignment horizontal="center"/>
    </xf>
    <xf numFmtId="0" fontId="9" fillId="0" borderId="0" xfId="0" applyFont="1" applyAlignment="1">
      <alignment horizontal="center"/>
    </xf>
    <xf numFmtId="0" fontId="1" fillId="2" borderId="6"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 xfId="0" applyFont="1" applyFill="1" applyBorder="1" applyAlignment="1">
      <alignment horizontal="center"/>
    </xf>
    <xf numFmtId="0" fontId="1" fillId="2" borderId="2"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12" borderId="1" xfId="0" applyFont="1" applyFill="1" applyBorder="1" applyAlignment="1">
      <alignment horizontal="center" vertical="center"/>
    </xf>
    <xf numFmtId="0" fontId="1" fillId="12" borderId="3" xfId="0" applyFont="1" applyFill="1" applyBorder="1" applyAlignment="1">
      <alignment horizontal="center" vertical="center"/>
    </xf>
    <xf numFmtId="0" fontId="1" fillId="12" borderId="1" xfId="0" applyFont="1" applyFill="1" applyBorder="1" applyAlignment="1">
      <alignment horizontal="center"/>
    </xf>
    <xf numFmtId="0" fontId="1" fillId="12" borderId="2" xfId="0" applyFont="1" applyFill="1" applyBorder="1" applyAlignment="1">
      <alignment horizontal="center" vertical="center"/>
    </xf>
    <xf numFmtId="0" fontId="1" fillId="12" borderId="47" xfId="0" applyFont="1" applyFill="1" applyBorder="1" applyAlignment="1">
      <alignment horizontal="center" vertical="center"/>
    </xf>
    <xf numFmtId="0" fontId="11" fillId="2" borderId="48" xfId="0" applyFont="1" applyFill="1" applyBorder="1" applyAlignment="1">
      <alignment horizontal="center"/>
    </xf>
    <xf numFmtId="0" fontId="11" fillId="2" borderId="49" xfId="0" applyFont="1" applyFill="1" applyBorder="1" applyAlignment="1">
      <alignment horizontal="center"/>
    </xf>
    <xf numFmtId="0" fontId="11" fillId="2" borderId="50" xfId="0" applyFont="1" applyFill="1" applyBorder="1" applyAlignment="1">
      <alignment horizontal="center"/>
    </xf>
    <xf numFmtId="0" fontId="1" fillId="6" borderId="4" xfId="0" applyFont="1" applyFill="1" applyBorder="1" applyAlignment="1">
      <alignment horizontal="center"/>
    </xf>
    <xf numFmtId="0" fontId="1" fillId="6" borderId="5" xfId="0" applyFont="1" applyFill="1" applyBorder="1" applyAlignment="1">
      <alignment horizontal="center"/>
    </xf>
    <xf numFmtId="0" fontId="1" fillId="6" borderId="9" xfId="0" applyFont="1" applyFill="1" applyBorder="1" applyAlignment="1">
      <alignment horizontal="center"/>
    </xf>
    <xf numFmtId="0" fontId="1" fillId="2" borderId="6" xfId="0" applyFont="1" applyFill="1" applyBorder="1" applyAlignment="1">
      <alignment horizontal="center"/>
    </xf>
    <xf numFmtId="0" fontId="1" fillId="12" borderId="2" xfId="0" applyFont="1" applyFill="1" applyBorder="1" applyAlignment="1">
      <alignment horizontal="center"/>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63</xdr:col>
      <xdr:colOff>28399</xdr:colOff>
      <xdr:row>53</xdr:row>
      <xdr:rowOff>54428</xdr:rowOff>
    </xdr:from>
    <xdr:to>
      <xdr:col>65</xdr:col>
      <xdr:colOff>0</xdr:colOff>
      <xdr:row>53</xdr:row>
      <xdr:rowOff>55069</xdr:rowOff>
    </xdr:to>
    <xdr:cxnSp macro="">
      <xdr:nvCxnSpPr>
        <xdr:cNvPr id="2" name="Straight Connector 1">
          <a:extLst>
            <a:ext uri="{FF2B5EF4-FFF2-40B4-BE49-F238E27FC236}">
              <a16:creationId xmlns:a16="http://schemas.microsoft.com/office/drawing/2014/main" id="{9BA30893-FAFB-4EF2-A20A-AA45332DAB21}"/>
            </a:ext>
          </a:extLst>
        </xdr:cNvPr>
        <xdr:cNvCxnSpPr>
          <a:stCxn id="3" idx="6"/>
        </xdr:cNvCxnSpPr>
      </xdr:nvCxnSpPr>
      <xdr:spPr>
        <a:xfrm flipV="1">
          <a:off x="12325174" y="6283778"/>
          <a:ext cx="352601" cy="641"/>
        </a:xfrm>
        <a:prstGeom prst="line">
          <a:avLst/>
        </a:prstGeom>
        <a:ln>
          <a:solidFill>
            <a:sysClr val="windowText" lastClr="000000"/>
          </a:solidFill>
          <a:headEnd type="none" w="med" len="med"/>
          <a:tailEnd type="stealth"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86589</xdr:colOff>
      <xdr:row>53</xdr:row>
      <xdr:rowOff>32210</xdr:rowOff>
    </xdr:from>
    <xdr:to>
      <xdr:col>63</xdr:col>
      <xdr:colOff>28399</xdr:colOff>
      <xdr:row>53</xdr:row>
      <xdr:rowOff>77929</xdr:rowOff>
    </xdr:to>
    <xdr:sp macro="" textlink="">
      <xdr:nvSpPr>
        <xdr:cNvPr id="3" name="Oval 2">
          <a:extLst>
            <a:ext uri="{FF2B5EF4-FFF2-40B4-BE49-F238E27FC236}">
              <a16:creationId xmlns:a16="http://schemas.microsoft.com/office/drawing/2014/main" id="{2F088F92-F633-487C-A6D1-9EA1A015103A}"/>
            </a:ext>
          </a:extLst>
        </xdr:cNvPr>
        <xdr:cNvSpPr/>
      </xdr:nvSpPr>
      <xdr:spPr>
        <a:xfrm flipV="1">
          <a:off x="12192864" y="6261560"/>
          <a:ext cx="132310" cy="4571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endParaRPr lang="en-US"/>
        </a:p>
      </xdr:txBody>
    </xdr:sp>
    <xdr:clientData/>
  </xdr:twoCellAnchor>
  <xdr:twoCellAnchor>
    <xdr:from>
      <xdr:col>63</xdr:col>
      <xdr:colOff>1</xdr:colOff>
      <xdr:row>52</xdr:row>
      <xdr:rowOff>87922</xdr:rowOff>
    </xdr:from>
    <xdr:to>
      <xdr:col>63</xdr:col>
      <xdr:colOff>3</xdr:colOff>
      <xdr:row>54</xdr:row>
      <xdr:rowOff>33153</xdr:rowOff>
    </xdr:to>
    <xdr:cxnSp macro="">
      <xdr:nvCxnSpPr>
        <xdr:cNvPr id="4" name="Straight Connector 3">
          <a:extLst>
            <a:ext uri="{FF2B5EF4-FFF2-40B4-BE49-F238E27FC236}">
              <a16:creationId xmlns:a16="http://schemas.microsoft.com/office/drawing/2014/main" id="{9AF48AD3-9514-4BF3-AACA-2F3330C9E515}"/>
            </a:ext>
          </a:extLst>
        </xdr:cNvPr>
        <xdr:cNvCxnSpPr/>
      </xdr:nvCxnSpPr>
      <xdr:spPr>
        <a:xfrm rot="5400000" flipH="1" flipV="1">
          <a:off x="12219386" y="6289887"/>
          <a:ext cx="154781" cy="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4763</xdr:colOff>
      <xdr:row>55</xdr:row>
      <xdr:rowOff>52888</xdr:rowOff>
    </xdr:from>
    <xdr:to>
      <xdr:col>65</xdr:col>
      <xdr:colOff>4762</xdr:colOff>
      <xdr:row>55</xdr:row>
      <xdr:rowOff>52888</xdr:rowOff>
    </xdr:to>
    <xdr:cxnSp macro="">
      <xdr:nvCxnSpPr>
        <xdr:cNvPr id="5" name="Straight Connector 4">
          <a:extLst>
            <a:ext uri="{FF2B5EF4-FFF2-40B4-BE49-F238E27FC236}">
              <a16:creationId xmlns:a16="http://schemas.microsoft.com/office/drawing/2014/main" id="{049A8BB3-F1A4-441B-B673-1F7AD8D299B5}"/>
            </a:ext>
          </a:extLst>
        </xdr:cNvPr>
        <xdr:cNvCxnSpPr/>
      </xdr:nvCxnSpPr>
      <xdr:spPr>
        <a:xfrm>
          <a:off x="12301538" y="6491788"/>
          <a:ext cx="380999" cy="0"/>
        </a:xfrm>
        <a:prstGeom prst="line">
          <a:avLst/>
        </a:prstGeom>
        <a:ln w="6350">
          <a:solidFill>
            <a:sysClr val="windowText" lastClr="000000"/>
          </a:solidFill>
          <a:prstDash val="sysDot"/>
          <a:headEnd type="none" w="med" len="med"/>
          <a:tailEnd type="stealth"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65298</xdr:colOff>
      <xdr:row>0</xdr:row>
      <xdr:rowOff>77883</xdr:rowOff>
    </xdr:from>
    <xdr:to>
      <xdr:col>1</xdr:col>
      <xdr:colOff>659298</xdr:colOff>
      <xdr:row>4</xdr:row>
      <xdr:rowOff>9453</xdr:rowOff>
    </xdr:to>
    <xdr:grpSp>
      <xdr:nvGrpSpPr>
        <xdr:cNvPr id="36511" name="Group 6">
          <a:extLst>
            <a:ext uri="{FF2B5EF4-FFF2-40B4-BE49-F238E27FC236}">
              <a16:creationId xmlns:a16="http://schemas.microsoft.com/office/drawing/2014/main" id="{6C8EA2DF-A7E8-4795-8EEE-62FEF680F335}"/>
            </a:ext>
          </a:extLst>
        </xdr:cNvPr>
        <xdr:cNvGrpSpPr>
          <a:grpSpLocks/>
        </xdr:cNvGrpSpPr>
      </xdr:nvGrpSpPr>
      <xdr:grpSpPr bwMode="auto">
        <a:xfrm>
          <a:off x="303423" y="77883"/>
          <a:ext cx="574950" cy="512595"/>
          <a:chOff x="749156" y="707413"/>
          <a:chExt cx="2257347" cy="2257348"/>
        </a:xfrm>
      </xdr:grpSpPr>
      <xdr:sp macro="" textlink="">
        <xdr:nvSpPr>
          <xdr:cNvPr id="7" name="Oval 6">
            <a:extLst>
              <a:ext uri="{FF2B5EF4-FFF2-40B4-BE49-F238E27FC236}">
                <a16:creationId xmlns:a16="http://schemas.microsoft.com/office/drawing/2014/main" id="{17368CAB-166E-404B-AD56-54CA44E83A22}"/>
              </a:ext>
            </a:extLst>
          </xdr:cNvPr>
          <xdr:cNvSpPr/>
        </xdr:nvSpPr>
        <xdr:spPr>
          <a:xfrm>
            <a:off x="947530" y="875581"/>
            <a:ext cx="1914939" cy="1906438"/>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fontAlgn="auto">
              <a:spcBef>
                <a:spcPts val="0"/>
              </a:spcBef>
              <a:spcAft>
                <a:spcPts val="0"/>
              </a:spcAft>
              <a:defRPr/>
            </a:pPr>
            <a:endParaRPr lang="en-US"/>
          </a:p>
        </xdr:txBody>
      </xdr:sp>
      <xdr:pic>
        <xdr:nvPicPr>
          <xdr:cNvPr id="36635" name="Picture 8">
            <a:extLst>
              <a:ext uri="{FF2B5EF4-FFF2-40B4-BE49-F238E27FC236}">
                <a16:creationId xmlns:a16="http://schemas.microsoft.com/office/drawing/2014/main" id="{85F47BC2-A354-44FA-AC34-D543A2F5F96C}"/>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9156" y="707413"/>
            <a:ext cx="2257347" cy="2257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8</xdr:col>
      <xdr:colOff>5013</xdr:colOff>
      <xdr:row>34</xdr:row>
      <xdr:rowOff>105162</xdr:rowOff>
    </xdr:from>
    <xdr:to>
      <xdr:col>9</xdr:col>
      <xdr:colOff>188659</xdr:colOff>
      <xdr:row>35</xdr:row>
      <xdr:rowOff>92</xdr:rowOff>
    </xdr:to>
    <xdr:cxnSp macro="">
      <xdr:nvCxnSpPr>
        <xdr:cNvPr id="11" name="Straight Arrow Connector 10">
          <a:extLst>
            <a:ext uri="{FF2B5EF4-FFF2-40B4-BE49-F238E27FC236}">
              <a16:creationId xmlns:a16="http://schemas.microsoft.com/office/drawing/2014/main" id="{05EC0AEF-A19C-4805-BDA7-E0043FB3708B}"/>
            </a:ext>
          </a:extLst>
        </xdr:cNvPr>
        <xdr:cNvCxnSpPr/>
      </xdr:nvCxnSpPr>
      <xdr:spPr>
        <a:xfrm>
          <a:off x="2099424" y="4463802"/>
          <a:ext cx="375235" cy="378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188099</xdr:colOff>
      <xdr:row>10</xdr:row>
      <xdr:rowOff>4002</xdr:rowOff>
    </xdr:from>
    <xdr:to>
      <xdr:col>24</xdr:col>
      <xdr:colOff>9979</xdr:colOff>
      <xdr:row>10</xdr:row>
      <xdr:rowOff>6384</xdr:rowOff>
    </xdr:to>
    <xdr:cxnSp macro="">
      <xdr:nvCxnSpPr>
        <xdr:cNvPr id="12" name="Straight Arrow Connector 11">
          <a:extLst>
            <a:ext uri="{FF2B5EF4-FFF2-40B4-BE49-F238E27FC236}">
              <a16:creationId xmlns:a16="http://schemas.microsoft.com/office/drawing/2014/main" id="{ACE2CA69-CAB6-4273-8DB4-2E3A6053CA46}"/>
            </a:ext>
          </a:extLst>
        </xdr:cNvPr>
        <xdr:cNvCxnSpPr/>
      </xdr:nvCxnSpPr>
      <xdr:spPr>
        <a:xfrm>
          <a:off x="4706471" y="1376723"/>
          <a:ext cx="206082" cy="238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181132</xdr:colOff>
      <xdr:row>35</xdr:row>
      <xdr:rowOff>1932</xdr:rowOff>
    </xdr:from>
    <xdr:to>
      <xdr:col>16</xdr:col>
      <xdr:colOff>188353</xdr:colOff>
      <xdr:row>35</xdr:row>
      <xdr:rowOff>5672</xdr:rowOff>
    </xdr:to>
    <xdr:cxnSp macro="">
      <xdr:nvCxnSpPr>
        <xdr:cNvPr id="13" name="Straight Arrow Connector 12">
          <a:extLst>
            <a:ext uri="{FF2B5EF4-FFF2-40B4-BE49-F238E27FC236}">
              <a16:creationId xmlns:a16="http://schemas.microsoft.com/office/drawing/2014/main" id="{C3894699-D4CB-4846-935D-1D2507D00498}"/>
            </a:ext>
          </a:extLst>
        </xdr:cNvPr>
        <xdr:cNvCxnSpPr/>
      </xdr:nvCxnSpPr>
      <xdr:spPr>
        <a:xfrm flipV="1">
          <a:off x="3425075" y="4469429"/>
          <a:ext cx="390398" cy="37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6708</xdr:colOff>
      <xdr:row>9</xdr:row>
      <xdr:rowOff>100616</xdr:rowOff>
    </xdr:from>
    <xdr:to>
      <xdr:col>31</xdr:col>
      <xdr:colOff>13660</xdr:colOff>
      <xdr:row>9</xdr:row>
      <xdr:rowOff>100616</xdr:rowOff>
    </xdr:to>
    <xdr:cxnSp macro="">
      <xdr:nvCxnSpPr>
        <xdr:cNvPr id="14" name="Straight Arrow Connector 13">
          <a:extLst>
            <a:ext uri="{FF2B5EF4-FFF2-40B4-BE49-F238E27FC236}">
              <a16:creationId xmlns:a16="http://schemas.microsoft.com/office/drawing/2014/main" id="{5E13306C-FFEE-4872-8163-B7D87894D200}"/>
            </a:ext>
          </a:extLst>
        </xdr:cNvPr>
        <xdr:cNvCxnSpPr/>
      </xdr:nvCxnSpPr>
      <xdr:spPr>
        <a:xfrm>
          <a:off x="5826483" y="1367441"/>
          <a:ext cx="387952"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0</xdr:colOff>
      <xdr:row>10</xdr:row>
      <xdr:rowOff>0</xdr:rowOff>
    </xdr:from>
    <xdr:to>
      <xdr:col>38</xdr:col>
      <xdr:colOff>6952</xdr:colOff>
      <xdr:row>10</xdr:row>
      <xdr:rowOff>0</xdr:rowOff>
    </xdr:to>
    <xdr:cxnSp macro="">
      <xdr:nvCxnSpPr>
        <xdr:cNvPr id="15" name="Straight Arrow Connector 14">
          <a:extLst>
            <a:ext uri="{FF2B5EF4-FFF2-40B4-BE49-F238E27FC236}">
              <a16:creationId xmlns:a16="http://schemas.microsoft.com/office/drawing/2014/main" id="{83CC881D-2A40-45E8-91FC-DC53797B8015}"/>
            </a:ext>
          </a:extLst>
        </xdr:cNvPr>
        <xdr:cNvCxnSpPr/>
      </xdr:nvCxnSpPr>
      <xdr:spPr>
        <a:xfrm>
          <a:off x="7153275" y="1371600"/>
          <a:ext cx="387952"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187892</xdr:colOff>
      <xdr:row>35</xdr:row>
      <xdr:rowOff>8709</xdr:rowOff>
    </xdr:from>
    <xdr:to>
      <xdr:col>23</xdr:col>
      <xdr:colOff>186859</xdr:colOff>
      <xdr:row>35</xdr:row>
      <xdr:rowOff>10676</xdr:rowOff>
    </xdr:to>
    <xdr:cxnSp macro="">
      <xdr:nvCxnSpPr>
        <xdr:cNvPr id="16" name="Straight Arrow Connector 15">
          <a:extLst>
            <a:ext uri="{FF2B5EF4-FFF2-40B4-BE49-F238E27FC236}">
              <a16:creationId xmlns:a16="http://schemas.microsoft.com/office/drawing/2014/main" id="{546F26BB-6211-4388-B531-20706C564487}"/>
            </a:ext>
          </a:extLst>
        </xdr:cNvPr>
        <xdr:cNvCxnSpPr/>
      </xdr:nvCxnSpPr>
      <xdr:spPr>
        <a:xfrm>
          <a:off x="4772955" y="3901440"/>
          <a:ext cx="382144" cy="196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149412</xdr:colOff>
      <xdr:row>19</xdr:row>
      <xdr:rowOff>87157</xdr:rowOff>
    </xdr:from>
    <xdr:to>
      <xdr:col>59</xdr:col>
      <xdr:colOff>724</xdr:colOff>
      <xdr:row>19</xdr:row>
      <xdr:rowOff>93382</xdr:rowOff>
    </xdr:to>
    <xdr:cxnSp macro="">
      <xdr:nvCxnSpPr>
        <xdr:cNvPr id="17" name="Straight Arrow Connector 16">
          <a:extLst>
            <a:ext uri="{FF2B5EF4-FFF2-40B4-BE49-F238E27FC236}">
              <a16:creationId xmlns:a16="http://schemas.microsoft.com/office/drawing/2014/main" id="{A8FE9809-71F7-48EA-80B4-C0C8A591F172}"/>
            </a:ext>
          </a:extLst>
        </xdr:cNvPr>
        <xdr:cNvCxnSpPr/>
      </xdr:nvCxnSpPr>
      <xdr:spPr>
        <a:xfrm flipV="1">
          <a:off x="12065000" y="2272304"/>
          <a:ext cx="249744" cy="62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40</xdr:row>
      <xdr:rowOff>6185</xdr:rowOff>
    </xdr:from>
    <xdr:to>
      <xdr:col>10</xdr:col>
      <xdr:colOff>6951</xdr:colOff>
      <xdr:row>40</xdr:row>
      <xdr:rowOff>6185</xdr:rowOff>
    </xdr:to>
    <xdr:cxnSp macro="">
      <xdr:nvCxnSpPr>
        <xdr:cNvPr id="18" name="Straight Arrow Connector 17">
          <a:extLst>
            <a:ext uri="{FF2B5EF4-FFF2-40B4-BE49-F238E27FC236}">
              <a16:creationId xmlns:a16="http://schemas.microsoft.com/office/drawing/2014/main" id="{2B3C012E-DA52-4E83-B857-4848C4D4D49C}"/>
            </a:ext>
          </a:extLst>
        </xdr:cNvPr>
        <xdr:cNvCxnSpPr/>
      </xdr:nvCxnSpPr>
      <xdr:spPr>
        <a:xfrm>
          <a:off x="11460925" y="4094513"/>
          <a:ext cx="3904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78</xdr:col>
      <xdr:colOff>9923</xdr:colOff>
      <xdr:row>9</xdr:row>
      <xdr:rowOff>99219</xdr:rowOff>
    </xdr:from>
    <xdr:to>
      <xdr:col>80</xdr:col>
      <xdr:colOff>16874</xdr:colOff>
      <xdr:row>9</xdr:row>
      <xdr:rowOff>99219</xdr:rowOff>
    </xdr:to>
    <xdr:cxnSp macro="">
      <xdr:nvCxnSpPr>
        <xdr:cNvPr id="19" name="Straight Arrow Connector 18">
          <a:extLst>
            <a:ext uri="{FF2B5EF4-FFF2-40B4-BE49-F238E27FC236}">
              <a16:creationId xmlns:a16="http://schemas.microsoft.com/office/drawing/2014/main" id="{853B26CD-BA85-4AC2-8CA4-4FEC00579E89}"/>
            </a:ext>
          </a:extLst>
        </xdr:cNvPr>
        <xdr:cNvCxnSpPr/>
      </xdr:nvCxnSpPr>
      <xdr:spPr>
        <a:xfrm>
          <a:off x="15164198" y="1366044"/>
          <a:ext cx="38795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25</xdr:row>
      <xdr:rowOff>0</xdr:rowOff>
    </xdr:from>
    <xdr:to>
      <xdr:col>10</xdr:col>
      <xdr:colOff>3574</xdr:colOff>
      <xdr:row>25</xdr:row>
      <xdr:rowOff>0</xdr:rowOff>
    </xdr:to>
    <xdr:cxnSp macro="">
      <xdr:nvCxnSpPr>
        <xdr:cNvPr id="21" name="Straight Arrow Connector 20">
          <a:extLst>
            <a:ext uri="{FF2B5EF4-FFF2-40B4-BE49-F238E27FC236}">
              <a16:creationId xmlns:a16="http://schemas.microsoft.com/office/drawing/2014/main" id="{33AECC04-9360-4F28-9C47-F548CE620040}"/>
            </a:ext>
          </a:extLst>
        </xdr:cNvPr>
        <xdr:cNvCxnSpPr/>
      </xdr:nvCxnSpPr>
      <xdr:spPr>
        <a:xfrm>
          <a:off x="1819275" y="2943225"/>
          <a:ext cx="38457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181109</xdr:colOff>
      <xdr:row>25</xdr:row>
      <xdr:rowOff>6707</xdr:rowOff>
    </xdr:from>
    <xdr:to>
      <xdr:col>16</xdr:col>
      <xdr:colOff>184683</xdr:colOff>
      <xdr:row>25</xdr:row>
      <xdr:rowOff>6707</xdr:rowOff>
    </xdr:to>
    <xdr:cxnSp macro="">
      <xdr:nvCxnSpPr>
        <xdr:cNvPr id="22" name="Straight Arrow Connector 21">
          <a:extLst>
            <a:ext uri="{FF2B5EF4-FFF2-40B4-BE49-F238E27FC236}">
              <a16:creationId xmlns:a16="http://schemas.microsoft.com/office/drawing/2014/main" id="{059FAC27-1AC3-45D1-A199-52C8EC6DA33A}"/>
            </a:ext>
          </a:extLst>
        </xdr:cNvPr>
        <xdr:cNvCxnSpPr/>
      </xdr:nvCxnSpPr>
      <xdr:spPr>
        <a:xfrm>
          <a:off x="3143384" y="2949932"/>
          <a:ext cx="38457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187816</xdr:colOff>
      <xdr:row>25</xdr:row>
      <xdr:rowOff>0</xdr:rowOff>
    </xdr:from>
    <xdr:to>
      <xdr:col>24</xdr:col>
      <xdr:colOff>3574</xdr:colOff>
      <xdr:row>25</xdr:row>
      <xdr:rowOff>0</xdr:rowOff>
    </xdr:to>
    <xdr:cxnSp macro="">
      <xdr:nvCxnSpPr>
        <xdr:cNvPr id="23" name="Straight Arrow Connector 22">
          <a:extLst>
            <a:ext uri="{FF2B5EF4-FFF2-40B4-BE49-F238E27FC236}">
              <a16:creationId xmlns:a16="http://schemas.microsoft.com/office/drawing/2014/main" id="{65FB8387-5768-4B91-9536-958354F0D5EE}"/>
            </a:ext>
          </a:extLst>
        </xdr:cNvPr>
        <xdr:cNvCxnSpPr/>
      </xdr:nvCxnSpPr>
      <xdr:spPr>
        <a:xfrm>
          <a:off x="4483591" y="2943225"/>
          <a:ext cx="387258"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15</xdr:row>
      <xdr:rowOff>0</xdr:rowOff>
    </xdr:from>
    <xdr:to>
      <xdr:col>17</xdr:col>
      <xdr:colOff>9525</xdr:colOff>
      <xdr:row>15</xdr:row>
      <xdr:rowOff>9525</xdr:rowOff>
    </xdr:to>
    <xdr:cxnSp macro="">
      <xdr:nvCxnSpPr>
        <xdr:cNvPr id="36524" name="Straight Arrow Connector 26">
          <a:extLst>
            <a:ext uri="{FF2B5EF4-FFF2-40B4-BE49-F238E27FC236}">
              <a16:creationId xmlns:a16="http://schemas.microsoft.com/office/drawing/2014/main" id="{6B709A97-B509-4413-A911-984043F254F9}"/>
            </a:ext>
          </a:extLst>
        </xdr:cNvPr>
        <xdr:cNvCxnSpPr>
          <a:cxnSpLocks noChangeShapeType="1"/>
        </xdr:cNvCxnSpPr>
      </xdr:nvCxnSpPr>
      <xdr:spPr bwMode="auto">
        <a:xfrm flipV="1">
          <a:off x="3390900" y="1895475"/>
          <a:ext cx="390525" cy="95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9525</xdr:colOff>
      <xdr:row>22</xdr:row>
      <xdr:rowOff>57150</xdr:rowOff>
    </xdr:from>
    <xdr:to>
      <xdr:col>36</xdr:col>
      <xdr:colOff>156757</xdr:colOff>
      <xdr:row>22</xdr:row>
      <xdr:rowOff>66423</xdr:rowOff>
    </xdr:to>
    <xdr:cxnSp macro="">
      <xdr:nvCxnSpPr>
        <xdr:cNvPr id="36526" name="Straight Connector 39">
          <a:extLst>
            <a:ext uri="{FF2B5EF4-FFF2-40B4-BE49-F238E27FC236}">
              <a16:creationId xmlns:a16="http://schemas.microsoft.com/office/drawing/2014/main" id="{C83ED82E-BEB1-4924-B847-D535F1271808}"/>
            </a:ext>
          </a:extLst>
        </xdr:cNvPr>
        <xdr:cNvCxnSpPr>
          <a:cxnSpLocks noChangeShapeType="1"/>
        </xdr:cNvCxnSpPr>
      </xdr:nvCxnSpPr>
      <xdr:spPr bwMode="auto">
        <a:xfrm flipH="1" flipV="1">
          <a:off x="5097496" y="2567924"/>
          <a:ext cx="2703173" cy="9273"/>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9525</xdr:colOff>
      <xdr:row>22</xdr:row>
      <xdr:rowOff>57150</xdr:rowOff>
    </xdr:from>
    <xdr:to>
      <xdr:col>23</xdr:col>
      <xdr:colOff>9525</xdr:colOff>
      <xdr:row>25</xdr:row>
      <xdr:rowOff>19050</xdr:rowOff>
    </xdr:to>
    <xdr:cxnSp macro="">
      <xdr:nvCxnSpPr>
        <xdr:cNvPr id="36527" name="Straight Connector 40">
          <a:extLst>
            <a:ext uri="{FF2B5EF4-FFF2-40B4-BE49-F238E27FC236}">
              <a16:creationId xmlns:a16="http://schemas.microsoft.com/office/drawing/2014/main" id="{013F2792-0075-4A89-8BF1-3FC8BD71AA99}"/>
            </a:ext>
          </a:extLst>
        </xdr:cNvPr>
        <xdr:cNvCxnSpPr>
          <a:cxnSpLocks noChangeShapeType="1"/>
        </xdr:cNvCxnSpPr>
      </xdr:nvCxnSpPr>
      <xdr:spPr bwMode="auto">
        <a:xfrm flipV="1">
          <a:off x="4924425" y="2686050"/>
          <a:ext cx="0" cy="27622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180772</xdr:colOff>
      <xdr:row>24</xdr:row>
      <xdr:rowOff>85820</xdr:rowOff>
    </xdr:from>
    <xdr:to>
      <xdr:col>23</xdr:col>
      <xdr:colOff>30228</xdr:colOff>
      <xdr:row>25</xdr:row>
      <xdr:rowOff>27328</xdr:rowOff>
    </xdr:to>
    <xdr:sp macro="" textlink="">
      <xdr:nvSpPr>
        <xdr:cNvPr id="42" name="Oval 41">
          <a:extLst>
            <a:ext uri="{FF2B5EF4-FFF2-40B4-BE49-F238E27FC236}">
              <a16:creationId xmlns:a16="http://schemas.microsoft.com/office/drawing/2014/main" id="{00BEE12F-47EF-4AF7-969D-3CBC3BFA9281}"/>
            </a:ext>
          </a:extLst>
        </xdr:cNvPr>
        <xdr:cNvSpPr/>
      </xdr:nvSpPr>
      <xdr:spPr>
        <a:xfrm>
          <a:off x="4667047" y="2924270"/>
          <a:ext cx="39956" cy="46283"/>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37</xdr:col>
      <xdr:colOff>5488</xdr:colOff>
      <xdr:row>14</xdr:row>
      <xdr:rowOff>95250</xdr:rowOff>
    </xdr:from>
    <xdr:to>
      <xdr:col>38</xdr:col>
      <xdr:colOff>3574</xdr:colOff>
      <xdr:row>14</xdr:row>
      <xdr:rowOff>100806</xdr:rowOff>
    </xdr:to>
    <xdr:cxnSp macro="">
      <xdr:nvCxnSpPr>
        <xdr:cNvPr id="43" name="Straight Arrow Connector 42">
          <a:extLst>
            <a:ext uri="{FF2B5EF4-FFF2-40B4-BE49-F238E27FC236}">
              <a16:creationId xmlns:a16="http://schemas.microsoft.com/office/drawing/2014/main" id="{BBED3661-6484-4188-A2C2-C0E6C7EBF516}"/>
            </a:ext>
          </a:extLst>
        </xdr:cNvPr>
        <xdr:cNvCxnSpPr>
          <a:stCxn id="48" idx="0"/>
        </xdr:cNvCxnSpPr>
      </xdr:nvCxnSpPr>
      <xdr:spPr>
        <a:xfrm>
          <a:off x="7813773" y="1811965"/>
          <a:ext cx="193754" cy="555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0</xdr:colOff>
      <xdr:row>20</xdr:row>
      <xdr:rowOff>0</xdr:rowOff>
    </xdr:from>
    <xdr:to>
      <xdr:col>38</xdr:col>
      <xdr:colOff>23813</xdr:colOff>
      <xdr:row>20</xdr:row>
      <xdr:rowOff>0</xdr:rowOff>
    </xdr:to>
    <xdr:cxnSp macro="">
      <xdr:nvCxnSpPr>
        <xdr:cNvPr id="44" name="Straight Arrow Connector 43">
          <a:extLst>
            <a:ext uri="{FF2B5EF4-FFF2-40B4-BE49-F238E27FC236}">
              <a16:creationId xmlns:a16="http://schemas.microsoft.com/office/drawing/2014/main" id="{498A3638-7E5A-48D2-AF09-A7BC14EFFD67}"/>
            </a:ext>
          </a:extLst>
        </xdr:cNvPr>
        <xdr:cNvCxnSpPr/>
      </xdr:nvCxnSpPr>
      <xdr:spPr>
        <a:xfrm>
          <a:off x="7343775" y="2419350"/>
          <a:ext cx="21431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0</xdr:colOff>
      <xdr:row>15</xdr:row>
      <xdr:rowOff>0</xdr:rowOff>
    </xdr:from>
    <xdr:to>
      <xdr:col>31</xdr:col>
      <xdr:colOff>23813</xdr:colOff>
      <xdr:row>15</xdr:row>
      <xdr:rowOff>0</xdr:rowOff>
    </xdr:to>
    <xdr:cxnSp macro="">
      <xdr:nvCxnSpPr>
        <xdr:cNvPr id="45" name="Straight Arrow Connector 44">
          <a:extLst>
            <a:ext uri="{FF2B5EF4-FFF2-40B4-BE49-F238E27FC236}">
              <a16:creationId xmlns:a16="http://schemas.microsoft.com/office/drawing/2014/main" id="{05FBC77F-8B67-4565-B9FB-ED44F7967652}"/>
            </a:ext>
          </a:extLst>
        </xdr:cNvPr>
        <xdr:cNvCxnSpPr/>
      </xdr:nvCxnSpPr>
      <xdr:spPr>
        <a:xfrm>
          <a:off x="7343775" y="2943225"/>
          <a:ext cx="21431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0</xdr:colOff>
      <xdr:row>14</xdr:row>
      <xdr:rowOff>104775</xdr:rowOff>
    </xdr:from>
    <xdr:to>
      <xdr:col>37</xdr:col>
      <xdr:colOff>9525</xdr:colOff>
      <xdr:row>25</xdr:row>
      <xdr:rowOff>0</xdr:rowOff>
    </xdr:to>
    <xdr:cxnSp macro="">
      <xdr:nvCxnSpPr>
        <xdr:cNvPr id="36532" name="Straight Connector 45">
          <a:extLst>
            <a:ext uri="{FF2B5EF4-FFF2-40B4-BE49-F238E27FC236}">
              <a16:creationId xmlns:a16="http://schemas.microsoft.com/office/drawing/2014/main" id="{3CC404DB-5127-495E-BA09-2F6A335DF6DD}"/>
            </a:ext>
          </a:extLst>
        </xdr:cNvPr>
        <xdr:cNvCxnSpPr>
          <a:cxnSpLocks noChangeShapeType="1"/>
        </xdr:cNvCxnSpPr>
      </xdr:nvCxnSpPr>
      <xdr:spPr bwMode="auto">
        <a:xfrm flipV="1">
          <a:off x="7581900" y="1895475"/>
          <a:ext cx="9525" cy="104775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36</xdr:col>
      <xdr:colOff>173879</xdr:colOff>
      <xdr:row>19</xdr:row>
      <xdr:rowOff>84583</xdr:rowOff>
    </xdr:from>
    <xdr:to>
      <xdr:col>37</xdr:col>
      <xdr:colOff>23335</xdr:colOff>
      <xdr:row>20</xdr:row>
      <xdr:rowOff>26090</xdr:rowOff>
    </xdr:to>
    <xdr:sp macro="" textlink="">
      <xdr:nvSpPr>
        <xdr:cNvPr id="47" name="Oval 46">
          <a:extLst>
            <a:ext uri="{FF2B5EF4-FFF2-40B4-BE49-F238E27FC236}">
              <a16:creationId xmlns:a16="http://schemas.microsoft.com/office/drawing/2014/main" id="{A5E53092-AB49-41E2-8B1F-29ACAD71FD4B}"/>
            </a:ext>
          </a:extLst>
        </xdr:cNvPr>
        <xdr:cNvSpPr/>
      </xdr:nvSpPr>
      <xdr:spPr>
        <a:xfrm>
          <a:off x="7327154" y="2399158"/>
          <a:ext cx="39956" cy="46282"/>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36</xdr:col>
      <xdr:colOff>178594</xdr:colOff>
      <xdr:row>14</xdr:row>
      <xdr:rowOff>95250</xdr:rowOff>
    </xdr:from>
    <xdr:to>
      <xdr:col>37</xdr:col>
      <xdr:colOff>28050</xdr:colOff>
      <xdr:row>15</xdr:row>
      <xdr:rowOff>36758</xdr:rowOff>
    </xdr:to>
    <xdr:sp macro="" textlink="">
      <xdr:nvSpPr>
        <xdr:cNvPr id="48" name="Oval 47">
          <a:extLst>
            <a:ext uri="{FF2B5EF4-FFF2-40B4-BE49-F238E27FC236}">
              <a16:creationId xmlns:a16="http://schemas.microsoft.com/office/drawing/2014/main" id="{590E3E3D-A7E1-42B2-94C1-8501D841806B}"/>
            </a:ext>
          </a:extLst>
        </xdr:cNvPr>
        <xdr:cNvSpPr/>
      </xdr:nvSpPr>
      <xdr:spPr>
        <a:xfrm>
          <a:off x="7331869" y="1885950"/>
          <a:ext cx="39956" cy="46283"/>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36</xdr:col>
      <xdr:colOff>0</xdr:colOff>
      <xdr:row>30</xdr:row>
      <xdr:rowOff>6051</xdr:rowOff>
    </xdr:from>
    <xdr:to>
      <xdr:col>37</xdr:col>
      <xdr:colOff>32545</xdr:colOff>
      <xdr:row>30</xdr:row>
      <xdr:rowOff>13284</xdr:rowOff>
    </xdr:to>
    <xdr:cxnSp macro="">
      <xdr:nvCxnSpPr>
        <xdr:cNvPr id="13075" name="Straight Connector 49">
          <a:extLst>
            <a:ext uri="{FF2B5EF4-FFF2-40B4-BE49-F238E27FC236}">
              <a16:creationId xmlns:a16="http://schemas.microsoft.com/office/drawing/2014/main" id="{BCAD20BF-E0A5-4828-8462-C8729D2CD10C}"/>
            </a:ext>
          </a:extLst>
        </xdr:cNvPr>
        <xdr:cNvCxnSpPr>
          <a:cxnSpLocks noChangeShapeType="1"/>
        </xdr:cNvCxnSpPr>
      </xdr:nvCxnSpPr>
      <xdr:spPr bwMode="auto">
        <a:xfrm flipH="1">
          <a:off x="7643912" y="3324524"/>
          <a:ext cx="229156" cy="7233"/>
        </a:xfrm>
        <a:prstGeom prst="line">
          <a:avLst/>
        </a:prstGeom>
        <a:ln w="1270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36</xdr:col>
      <xdr:colOff>162071</xdr:colOff>
      <xdr:row>28</xdr:row>
      <xdr:rowOff>0</xdr:rowOff>
    </xdr:from>
    <xdr:to>
      <xdr:col>38</xdr:col>
      <xdr:colOff>18081</xdr:colOff>
      <xdr:row>28</xdr:row>
      <xdr:rowOff>460</xdr:rowOff>
    </xdr:to>
    <xdr:cxnSp macro="">
      <xdr:nvCxnSpPr>
        <xdr:cNvPr id="51" name="Straight Arrow Connector 50">
          <a:extLst>
            <a:ext uri="{FF2B5EF4-FFF2-40B4-BE49-F238E27FC236}">
              <a16:creationId xmlns:a16="http://schemas.microsoft.com/office/drawing/2014/main" id="{C645F9E7-4C87-4F79-BB36-C69040DD85F0}"/>
            </a:ext>
          </a:extLst>
        </xdr:cNvPr>
        <xdr:cNvCxnSpPr/>
      </xdr:nvCxnSpPr>
      <xdr:spPr>
        <a:xfrm>
          <a:off x="7805983" y="3116548"/>
          <a:ext cx="249232" cy="4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162071</xdr:colOff>
      <xdr:row>22</xdr:row>
      <xdr:rowOff>65772</xdr:rowOff>
    </xdr:from>
    <xdr:to>
      <xdr:col>36</xdr:col>
      <xdr:colOff>163777</xdr:colOff>
      <xdr:row>28</xdr:row>
      <xdr:rowOff>2657</xdr:rowOff>
    </xdr:to>
    <xdr:cxnSp macro="">
      <xdr:nvCxnSpPr>
        <xdr:cNvPr id="52" name="Straight Connector 51">
          <a:extLst>
            <a:ext uri="{FF2B5EF4-FFF2-40B4-BE49-F238E27FC236}">
              <a16:creationId xmlns:a16="http://schemas.microsoft.com/office/drawing/2014/main" id="{1B18DCA1-606F-4603-9700-A4BF2875D1C6}"/>
            </a:ext>
          </a:extLst>
        </xdr:cNvPr>
        <xdr:cNvCxnSpPr/>
      </xdr:nvCxnSpPr>
      <xdr:spPr bwMode="auto">
        <a:xfrm flipV="1">
          <a:off x="7805983" y="2576546"/>
          <a:ext cx="1706" cy="542659"/>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12</xdr:row>
      <xdr:rowOff>26459</xdr:rowOff>
    </xdr:from>
    <xdr:to>
      <xdr:col>37</xdr:col>
      <xdr:colOff>9525</xdr:colOff>
      <xdr:row>12</xdr:row>
      <xdr:rowOff>38100</xdr:rowOff>
    </xdr:to>
    <xdr:cxnSp macro="">
      <xdr:nvCxnSpPr>
        <xdr:cNvPr id="36539" name="Straight Connector 53">
          <a:extLst>
            <a:ext uri="{FF2B5EF4-FFF2-40B4-BE49-F238E27FC236}">
              <a16:creationId xmlns:a16="http://schemas.microsoft.com/office/drawing/2014/main" id="{52862705-D038-4E06-A521-69619DC66AB4}"/>
            </a:ext>
          </a:extLst>
        </xdr:cNvPr>
        <xdr:cNvCxnSpPr>
          <a:cxnSpLocks noChangeShapeType="1"/>
        </xdr:cNvCxnSpPr>
      </xdr:nvCxnSpPr>
      <xdr:spPr bwMode="auto">
        <a:xfrm flipH="1" flipV="1">
          <a:off x="5124097" y="1530174"/>
          <a:ext cx="2787650" cy="11641"/>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11</xdr:row>
      <xdr:rowOff>0</xdr:rowOff>
    </xdr:from>
    <xdr:to>
      <xdr:col>37</xdr:col>
      <xdr:colOff>0</xdr:colOff>
      <xdr:row>12</xdr:row>
      <xdr:rowOff>28575</xdr:rowOff>
    </xdr:to>
    <xdr:cxnSp macro="">
      <xdr:nvCxnSpPr>
        <xdr:cNvPr id="36540" name="Straight Connector 54">
          <a:extLst>
            <a:ext uri="{FF2B5EF4-FFF2-40B4-BE49-F238E27FC236}">
              <a16:creationId xmlns:a16="http://schemas.microsoft.com/office/drawing/2014/main" id="{19C1F732-3E43-43A4-9648-DE5AE5D015D5}"/>
            </a:ext>
          </a:extLst>
        </xdr:cNvPr>
        <xdr:cNvCxnSpPr>
          <a:cxnSpLocks noChangeShapeType="1"/>
        </xdr:cNvCxnSpPr>
      </xdr:nvCxnSpPr>
      <xdr:spPr bwMode="auto">
        <a:xfrm>
          <a:off x="7581900" y="1476375"/>
          <a:ext cx="0" cy="13335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10</xdr:row>
      <xdr:rowOff>104179</xdr:rowOff>
    </xdr:from>
    <xdr:to>
      <xdr:col>38</xdr:col>
      <xdr:colOff>23813</xdr:colOff>
      <xdr:row>10</xdr:row>
      <xdr:rowOff>104179</xdr:rowOff>
    </xdr:to>
    <xdr:cxnSp macro="">
      <xdr:nvCxnSpPr>
        <xdr:cNvPr id="56" name="Straight Arrow Connector 55">
          <a:extLst>
            <a:ext uri="{FF2B5EF4-FFF2-40B4-BE49-F238E27FC236}">
              <a16:creationId xmlns:a16="http://schemas.microsoft.com/office/drawing/2014/main" id="{A2D2C775-1667-4F37-A648-F1B7D39DA3B4}"/>
            </a:ext>
          </a:extLst>
        </xdr:cNvPr>
        <xdr:cNvCxnSpPr/>
      </xdr:nvCxnSpPr>
      <xdr:spPr>
        <a:xfrm>
          <a:off x="7343775" y="1475779"/>
          <a:ext cx="21431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35456</xdr:colOff>
      <xdr:row>25</xdr:row>
      <xdr:rowOff>1</xdr:rowOff>
    </xdr:from>
    <xdr:to>
      <xdr:col>37</xdr:col>
      <xdr:colOff>193638</xdr:colOff>
      <xdr:row>25</xdr:row>
      <xdr:rowOff>1</xdr:rowOff>
    </xdr:to>
    <xdr:cxnSp macro="">
      <xdr:nvCxnSpPr>
        <xdr:cNvPr id="58" name="Straight Arrow Connector 57">
          <a:extLst>
            <a:ext uri="{FF2B5EF4-FFF2-40B4-BE49-F238E27FC236}">
              <a16:creationId xmlns:a16="http://schemas.microsoft.com/office/drawing/2014/main" id="{D82D942D-B8E0-4674-8548-8DBE86C5C9F0}"/>
            </a:ext>
          </a:extLst>
        </xdr:cNvPr>
        <xdr:cNvCxnSpPr/>
      </xdr:nvCxnSpPr>
      <xdr:spPr>
        <a:xfrm>
          <a:off x="7648072" y="2853809"/>
          <a:ext cx="35385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51686</xdr:colOff>
      <xdr:row>22</xdr:row>
      <xdr:rowOff>81221</xdr:rowOff>
    </xdr:from>
    <xdr:to>
      <xdr:col>43</xdr:col>
      <xdr:colOff>57150</xdr:colOff>
      <xdr:row>25</xdr:row>
      <xdr:rowOff>7384</xdr:rowOff>
    </xdr:to>
    <xdr:cxnSp macro="">
      <xdr:nvCxnSpPr>
        <xdr:cNvPr id="36543" name="Straight Connector 58">
          <a:extLst>
            <a:ext uri="{FF2B5EF4-FFF2-40B4-BE49-F238E27FC236}">
              <a16:creationId xmlns:a16="http://schemas.microsoft.com/office/drawing/2014/main" id="{B86788A9-59F5-4932-AF31-1B54B5B97562}"/>
            </a:ext>
          </a:extLst>
        </xdr:cNvPr>
        <xdr:cNvCxnSpPr>
          <a:cxnSpLocks noChangeShapeType="1"/>
        </xdr:cNvCxnSpPr>
      </xdr:nvCxnSpPr>
      <xdr:spPr bwMode="auto">
        <a:xfrm>
          <a:off x="9033983" y="2624913"/>
          <a:ext cx="5464" cy="236279"/>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42</xdr:col>
      <xdr:colOff>189756</xdr:colOff>
      <xdr:row>10</xdr:row>
      <xdr:rowOff>0</xdr:rowOff>
    </xdr:from>
    <xdr:to>
      <xdr:col>45</xdr:col>
      <xdr:colOff>6952</xdr:colOff>
      <xdr:row>10</xdr:row>
      <xdr:rowOff>0</xdr:rowOff>
    </xdr:to>
    <xdr:cxnSp macro="">
      <xdr:nvCxnSpPr>
        <xdr:cNvPr id="60" name="Straight Arrow Connector 59">
          <a:extLst>
            <a:ext uri="{FF2B5EF4-FFF2-40B4-BE49-F238E27FC236}">
              <a16:creationId xmlns:a16="http://schemas.microsoft.com/office/drawing/2014/main" id="{A56750D6-1651-4DFD-AA3D-2E73AE49578E}"/>
            </a:ext>
          </a:extLst>
        </xdr:cNvPr>
        <xdr:cNvCxnSpPr/>
      </xdr:nvCxnSpPr>
      <xdr:spPr>
        <a:xfrm>
          <a:off x="8486031" y="1371600"/>
          <a:ext cx="388696"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188285</xdr:colOff>
      <xdr:row>15</xdr:row>
      <xdr:rowOff>0</xdr:rowOff>
    </xdr:from>
    <xdr:to>
      <xdr:col>31</xdr:col>
      <xdr:colOff>23813</xdr:colOff>
      <xdr:row>15</xdr:row>
      <xdr:rowOff>3692</xdr:rowOff>
    </xdr:to>
    <xdr:cxnSp macro="">
      <xdr:nvCxnSpPr>
        <xdr:cNvPr id="61" name="Straight Arrow Connector 60">
          <a:extLst>
            <a:ext uri="{FF2B5EF4-FFF2-40B4-BE49-F238E27FC236}">
              <a16:creationId xmlns:a16="http://schemas.microsoft.com/office/drawing/2014/main" id="{22B51763-1D2E-43C6-8F76-D5A50EE7B3A7}"/>
            </a:ext>
          </a:extLst>
        </xdr:cNvPr>
        <xdr:cNvCxnSpPr/>
      </xdr:nvCxnSpPr>
      <xdr:spPr>
        <a:xfrm flipV="1">
          <a:off x="6235552" y="1820087"/>
          <a:ext cx="422534" cy="36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5121</xdr:colOff>
      <xdr:row>19</xdr:row>
      <xdr:rowOff>98445</xdr:rowOff>
    </xdr:from>
    <xdr:to>
      <xdr:col>52</xdr:col>
      <xdr:colOff>26362</xdr:colOff>
      <xdr:row>20</xdr:row>
      <xdr:rowOff>5121</xdr:rowOff>
    </xdr:to>
    <xdr:cxnSp macro="">
      <xdr:nvCxnSpPr>
        <xdr:cNvPr id="62" name="Straight Arrow Connector 61">
          <a:extLst>
            <a:ext uri="{FF2B5EF4-FFF2-40B4-BE49-F238E27FC236}">
              <a16:creationId xmlns:a16="http://schemas.microsoft.com/office/drawing/2014/main" id="{67EC7AEB-2D1D-429E-A4EA-27E4FB55C220}"/>
            </a:ext>
          </a:extLst>
        </xdr:cNvPr>
        <xdr:cNvCxnSpPr/>
      </xdr:nvCxnSpPr>
      <xdr:spPr>
        <a:xfrm flipV="1">
          <a:off x="11860161" y="2838163"/>
          <a:ext cx="215838" cy="909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7004</xdr:colOff>
      <xdr:row>14</xdr:row>
      <xdr:rowOff>99607</xdr:rowOff>
    </xdr:from>
    <xdr:to>
      <xdr:col>52</xdr:col>
      <xdr:colOff>2802</xdr:colOff>
      <xdr:row>14</xdr:row>
      <xdr:rowOff>99607</xdr:rowOff>
    </xdr:to>
    <xdr:cxnSp macro="">
      <xdr:nvCxnSpPr>
        <xdr:cNvPr id="63" name="Straight Arrow Connector 62">
          <a:extLst>
            <a:ext uri="{FF2B5EF4-FFF2-40B4-BE49-F238E27FC236}">
              <a16:creationId xmlns:a16="http://schemas.microsoft.com/office/drawing/2014/main" id="{9740E433-76BC-4216-971C-1300E3591F52}"/>
            </a:ext>
          </a:extLst>
        </xdr:cNvPr>
        <xdr:cNvCxnSpPr/>
      </xdr:nvCxnSpPr>
      <xdr:spPr>
        <a:xfrm>
          <a:off x="10528082" y="1786715"/>
          <a:ext cx="39423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0</xdr:colOff>
      <xdr:row>29</xdr:row>
      <xdr:rowOff>105365</xdr:rowOff>
    </xdr:from>
    <xdr:to>
      <xdr:col>45</xdr:col>
      <xdr:colOff>23813</xdr:colOff>
      <xdr:row>29</xdr:row>
      <xdr:rowOff>105365</xdr:rowOff>
    </xdr:to>
    <xdr:cxnSp macro="">
      <xdr:nvCxnSpPr>
        <xdr:cNvPr id="64" name="Straight Arrow Connector 63">
          <a:extLst>
            <a:ext uri="{FF2B5EF4-FFF2-40B4-BE49-F238E27FC236}">
              <a16:creationId xmlns:a16="http://schemas.microsoft.com/office/drawing/2014/main" id="{CD312DC3-4427-4EF6-9B93-8E0FF1DB646E}"/>
            </a:ext>
          </a:extLst>
        </xdr:cNvPr>
        <xdr:cNvCxnSpPr/>
      </xdr:nvCxnSpPr>
      <xdr:spPr>
        <a:xfrm>
          <a:off x="8677275" y="3467690"/>
          <a:ext cx="21431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0</xdr:colOff>
      <xdr:row>27</xdr:row>
      <xdr:rowOff>57150</xdr:rowOff>
    </xdr:from>
    <xdr:to>
      <xdr:col>44</xdr:col>
      <xdr:colOff>0</xdr:colOff>
      <xdr:row>29</xdr:row>
      <xdr:rowOff>104775</xdr:rowOff>
    </xdr:to>
    <xdr:cxnSp macro="">
      <xdr:nvCxnSpPr>
        <xdr:cNvPr id="36549" name="Straight Connector 64">
          <a:extLst>
            <a:ext uri="{FF2B5EF4-FFF2-40B4-BE49-F238E27FC236}">
              <a16:creationId xmlns:a16="http://schemas.microsoft.com/office/drawing/2014/main" id="{D24C68BA-AC29-4A91-A83E-BD157BA3C22A}"/>
            </a:ext>
          </a:extLst>
        </xdr:cNvPr>
        <xdr:cNvCxnSpPr>
          <a:cxnSpLocks noChangeShapeType="1"/>
        </xdr:cNvCxnSpPr>
      </xdr:nvCxnSpPr>
      <xdr:spPr bwMode="auto">
        <a:xfrm>
          <a:off x="8915400" y="3209925"/>
          <a:ext cx="0" cy="25717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27</xdr:row>
      <xdr:rowOff>57150</xdr:rowOff>
    </xdr:from>
    <xdr:to>
      <xdr:col>44</xdr:col>
      <xdr:colOff>0</xdr:colOff>
      <xdr:row>27</xdr:row>
      <xdr:rowOff>57150</xdr:rowOff>
    </xdr:to>
    <xdr:cxnSp macro="">
      <xdr:nvCxnSpPr>
        <xdr:cNvPr id="36550" name="Straight Connector 65">
          <a:extLst>
            <a:ext uri="{FF2B5EF4-FFF2-40B4-BE49-F238E27FC236}">
              <a16:creationId xmlns:a16="http://schemas.microsoft.com/office/drawing/2014/main" id="{EC4AAB99-6180-4177-9629-CC1CA2A92947}"/>
            </a:ext>
          </a:extLst>
        </xdr:cNvPr>
        <xdr:cNvCxnSpPr>
          <a:cxnSpLocks noChangeShapeType="1"/>
        </xdr:cNvCxnSpPr>
      </xdr:nvCxnSpPr>
      <xdr:spPr bwMode="auto">
        <a:xfrm flipH="1" flipV="1">
          <a:off x="7581900" y="3209925"/>
          <a:ext cx="1333500"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24</xdr:row>
      <xdr:rowOff>104775</xdr:rowOff>
    </xdr:from>
    <xdr:to>
      <xdr:col>37</xdr:col>
      <xdr:colOff>0</xdr:colOff>
      <xdr:row>27</xdr:row>
      <xdr:rowOff>47625</xdr:rowOff>
    </xdr:to>
    <xdr:cxnSp macro="">
      <xdr:nvCxnSpPr>
        <xdr:cNvPr id="36551" name="Straight Connector 66">
          <a:extLst>
            <a:ext uri="{FF2B5EF4-FFF2-40B4-BE49-F238E27FC236}">
              <a16:creationId xmlns:a16="http://schemas.microsoft.com/office/drawing/2014/main" id="{DB1C4B95-003F-43A7-82C8-0AF9AC08D4BF}"/>
            </a:ext>
          </a:extLst>
        </xdr:cNvPr>
        <xdr:cNvCxnSpPr>
          <a:cxnSpLocks noChangeShapeType="1"/>
        </xdr:cNvCxnSpPr>
      </xdr:nvCxnSpPr>
      <xdr:spPr bwMode="auto">
        <a:xfrm>
          <a:off x="7581900" y="2943225"/>
          <a:ext cx="0" cy="25717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0</xdr:colOff>
      <xdr:row>30</xdr:row>
      <xdr:rowOff>150891</xdr:rowOff>
    </xdr:from>
    <xdr:to>
      <xdr:col>45</xdr:col>
      <xdr:colOff>23813</xdr:colOff>
      <xdr:row>30</xdr:row>
      <xdr:rowOff>150891</xdr:rowOff>
    </xdr:to>
    <xdr:cxnSp macro="">
      <xdr:nvCxnSpPr>
        <xdr:cNvPr id="69" name="Straight Arrow Connector 68">
          <a:extLst>
            <a:ext uri="{FF2B5EF4-FFF2-40B4-BE49-F238E27FC236}">
              <a16:creationId xmlns:a16="http://schemas.microsoft.com/office/drawing/2014/main" id="{DEF0FEE2-F4A0-4503-839E-20DF2F459553}"/>
            </a:ext>
          </a:extLst>
        </xdr:cNvPr>
        <xdr:cNvCxnSpPr/>
      </xdr:nvCxnSpPr>
      <xdr:spPr>
        <a:xfrm>
          <a:off x="8677275" y="3617991"/>
          <a:ext cx="21431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193074</xdr:colOff>
      <xdr:row>32</xdr:row>
      <xdr:rowOff>47625</xdr:rowOff>
    </xdr:from>
    <xdr:to>
      <xdr:col>44</xdr:col>
      <xdr:colOff>0</xdr:colOff>
      <xdr:row>32</xdr:row>
      <xdr:rowOff>57150</xdr:rowOff>
    </xdr:to>
    <xdr:cxnSp macro="">
      <xdr:nvCxnSpPr>
        <xdr:cNvPr id="36554" name="Straight Connector 69">
          <a:extLst>
            <a:ext uri="{FF2B5EF4-FFF2-40B4-BE49-F238E27FC236}">
              <a16:creationId xmlns:a16="http://schemas.microsoft.com/office/drawing/2014/main" id="{DF3B5FDC-8073-4709-92F3-90D710EE9B95}"/>
            </a:ext>
          </a:extLst>
        </xdr:cNvPr>
        <xdr:cNvCxnSpPr>
          <a:cxnSpLocks noChangeShapeType="1"/>
        </xdr:cNvCxnSpPr>
      </xdr:nvCxnSpPr>
      <xdr:spPr bwMode="auto">
        <a:xfrm flipH="1" flipV="1">
          <a:off x="2265405" y="3735345"/>
          <a:ext cx="6757602" cy="952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8</xdr:col>
      <xdr:colOff>190500</xdr:colOff>
      <xdr:row>25</xdr:row>
      <xdr:rowOff>0</xdr:rowOff>
    </xdr:from>
    <xdr:to>
      <xdr:col>9</xdr:col>
      <xdr:colOff>0</xdr:colOff>
      <xdr:row>32</xdr:row>
      <xdr:rowOff>47625</xdr:rowOff>
    </xdr:to>
    <xdr:cxnSp macro="">
      <xdr:nvCxnSpPr>
        <xdr:cNvPr id="36555" name="Straight Connector 70">
          <a:extLst>
            <a:ext uri="{FF2B5EF4-FFF2-40B4-BE49-F238E27FC236}">
              <a16:creationId xmlns:a16="http://schemas.microsoft.com/office/drawing/2014/main" id="{1B9FC73F-C809-45B7-9972-D2DF93A01C41}"/>
            </a:ext>
          </a:extLst>
        </xdr:cNvPr>
        <xdr:cNvCxnSpPr>
          <a:cxnSpLocks noChangeShapeType="1"/>
        </xdr:cNvCxnSpPr>
      </xdr:nvCxnSpPr>
      <xdr:spPr bwMode="auto">
        <a:xfrm flipV="1">
          <a:off x="2247900" y="2943225"/>
          <a:ext cx="0" cy="82867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0</xdr:colOff>
      <xdr:row>31</xdr:row>
      <xdr:rowOff>0</xdr:rowOff>
    </xdr:from>
    <xdr:to>
      <xdr:col>44</xdr:col>
      <xdr:colOff>0</xdr:colOff>
      <xdr:row>32</xdr:row>
      <xdr:rowOff>57150</xdr:rowOff>
    </xdr:to>
    <xdr:cxnSp macro="">
      <xdr:nvCxnSpPr>
        <xdr:cNvPr id="36556" name="Straight Connector 71">
          <a:extLst>
            <a:ext uri="{FF2B5EF4-FFF2-40B4-BE49-F238E27FC236}">
              <a16:creationId xmlns:a16="http://schemas.microsoft.com/office/drawing/2014/main" id="{9249C3C9-716E-43F4-BB84-6BE5D6261CF5}"/>
            </a:ext>
          </a:extLst>
        </xdr:cNvPr>
        <xdr:cNvCxnSpPr>
          <a:cxnSpLocks noChangeShapeType="1"/>
        </xdr:cNvCxnSpPr>
      </xdr:nvCxnSpPr>
      <xdr:spPr bwMode="auto">
        <a:xfrm>
          <a:off x="8915400" y="3619500"/>
          <a:ext cx="0" cy="16192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8</xdr:col>
      <xdr:colOff>179185</xdr:colOff>
      <xdr:row>24</xdr:row>
      <xdr:rowOff>84877</xdr:rowOff>
    </xdr:from>
    <xdr:to>
      <xdr:col>9</xdr:col>
      <xdr:colOff>28641</xdr:colOff>
      <xdr:row>25</xdr:row>
      <xdr:rowOff>26385</xdr:rowOff>
    </xdr:to>
    <xdr:sp macro="" textlink="">
      <xdr:nvSpPr>
        <xdr:cNvPr id="73" name="Oval 72">
          <a:extLst>
            <a:ext uri="{FF2B5EF4-FFF2-40B4-BE49-F238E27FC236}">
              <a16:creationId xmlns:a16="http://schemas.microsoft.com/office/drawing/2014/main" id="{954FD34B-A460-4E8A-8D57-B91B12341C24}"/>
            </a:ext>
          </a:extLst>
        </xdr:cNvPr>
        <xdr:cNvSpPr/>
      </xdr:nvSpPr>
      <xdr:spPr>
        <a:xfrm>
          <a:off x="1998460" y="2923327"/>
          <a:ext cx="39956" cy="46283"/>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36</xdr:col>
      <xdr:colOff>29535</xdr:colOff>
      <xdr:row>22</xdr:row>
      <xdr:rowOff>77529</xdr:rowOff>
    </xdr:from>
    <xdr:to>
      <xdr:col>43</xdr:col>
      <xdr:colOff>53458</xdr:colOff>
      <xdr:row>22</xdr:row>
      <xdr:rowOff>81221</xdr:rowOff>
    </xdr:to>
    <xdr:cxnSp macro="">
      <xdr:nvCxnSpPr>
        <xdr:cNvPr id="36558" name="Straight Connector 73">
          <a:extLst>
            <a:ext uri="{FF2B5EF4-FFF2-40B4-BE49-F238E27FC236}">
              <a16:creationId xmlns:a16="http://schemas.microsoft.com/office/drawing/2014/main" id="{DC801EAD-D8BA-420C-9B6C-9101CBFA507E}"/>
            </a:ext>
          </a:extLst>
        </xdr:cNvPr>
        <xdr:cNvCxnSpPr>
          <a:cxnSpLocks noChangeShapeType="1"/>
        </xdr:cNvCxnSpPr>
      </xdr:nvCxnSpPr>
      <xdr:spPr bwMode="auto">
        <a:xfrm flipH="1">
          <a:off x="7642151" y="2621221"/>
          <a:ext cx="1393604" cy="3692"/>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0</xdr:colOff>
      <xdr:row>24</xdr:row>
      <xdr:rowOff>0</xdr:rowOff>
    </xdr:from>
    <xdr:to>
      <xdr:col>45</xdr:col>
      <xdr:colOff>23813</xdr:colOff>
      <xdr:row>24</xdr:row>
      <xdr:rowOff>0</xdr:rowOff>
    </xdr:to>
    <xdr:cxnSp macro="">
      <xdr:nvCxnSpPr>
        <xdr:cNvPr id="75" name="Straight Arrow Connector 74">
          <a:extLst>
            <a:ext uri="{FF2B5EF4-FFF2-40B4-BE49-F238E27FC236}">
              <a16:creationId xmlns:a16="http://schemas.microsoft.com/office/drawing/2014/main" id="{A50B43AD-369E-4A52-A4FC-5DF00BA9AF39}"/>
            </a:ext>
          </a:extLst>
        </xdr:cNvPr>
        <xdr:cNvCxnSpPr/>
      </xdr:nvCxnSpPr>
      <xdr:spPr>
        <a:xfrm>
          <a:off x="8677275" y="2838450"/>
          <a:ext cx="21431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61299</xdr:colOff>
      <xdr:row>25</xdr:row>
      <xdr:rowOff>0</xdr:rowOff>
    </xdr:from>
    <xdr:to>
      <xdr:col>45</xdr:col>
      <xdr:colOff>23813</xdr:colOff>
      <xdr:row>25</xdr:row>
      <xdr:rowOff>4716</xdr:rowOff>
    </xdr:to>
    <xdr:cxnSp macro="">
      <xdr:nvCxnSpPr>
        <xdr:cNvPr id="76" name="Straight Arrow Connector 75">
          <a:extLst>
            <a:ext uri="{FF2B5EF4-FFF2-40B4-BE49-F238E27FC236}">
              <a16:creationId xmlns:a16="http://schemas.microsoft.com/office/drawing/2014/main" id="{1CC068C6-0BE1-45F9-A6E8-3256BE58EE78}"/>
            </a:ext>
          </a:extLst>
        </xdr:cNvPr>
        <xdr:cNvCxnSpPr/>
      </xdr:nvCxnSpPr>
      <xdr:spPr>
        <a:xfrm flipV="1">
          <a:off x="8548074" y="2943225"/>
          <a:ext cx="343514" cy="471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123825</xdr:colOff>
      <xdr:row>17</xdr:row>
      <xdr:rowOff>76200</xdr:rowOff>
    </xdr:from>
    <xdr:to>
      <xdr:col>44</xdr:col>
      <xdr:colOff>9525</xdr:colOff>
      <xdr:row>17</xdr:row>
      <xdr:rowOff>85725</xdr:rowOff>
    </xdr:to>
    <xdr:cxnSp macro="">
      <xdr:nvCxnSpPr>
        <xdr:cNvPr id="36561" name="Straight Connector 76">
          <a:extLst>
            <a:ext uri="{FF2B5EF4-FFF2-40B4-BE49-F238E27FC236}">
              <a16:creationId xmlns:a16="http://schemas.microsoft.com/office/drawing/2014/main" id="{BEA53AF9-64DD-4265-BBC5-5772FFB325F4}"/>
            </a:ext>
          </a:extLst>
        </xdr:cNvPr>
        <xdr:cNvCxnSpPr>
          <a:cxnSpLocks noChangeShapeType="1"/>
        </xdr:cNvCxnSpPr>
      </xdr:nvCxnSpPr>
      <xdr:spPr bwMode="auto">
        <a:xfrm flipH="1" flipV="1">
          <a:off x="4900476" y="2074817"/>
          <a:ext cx="4100649" cy="952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9525</xdr:colOff>
      <xdr:row>10</xdr:row>
      <xdr:rowOff>0</xdr:rowOff>
    </xdr:from>
    <xdr:to>
      <xdr:col>22</xdr:col>
      <xdr:colOff>133350</xdr:colOff>
      <xdr:row>10</xdr:row>
      <xdr:rowOff>0</xdr:rowOff>
    </xdr:to>
    <xdr:cxnSp macro="">
      <xdr:nvCxnSpPr>
        <xdr:cNvPr id="36562" name="Straight Connector 77">
          <a:extLst>
            <a:ext uri="{FF2B5EF4-FFF2-40B4-BE49-F238E27FC236}">
              <a16:creationId xmlns:a16="http://schemas.microsoft.com/office/drawing/2014/main" id="{9B2D4067-1E79-445B-A5F3-3A589F2FD3A5}"/>
            </a:ext>
          </a:extLst>
        </xdr:cNvPr>
        <xdr:cNvCxnSpPr>
          <a:cxnSpLocks noChangeShapeType="1"/>
        </xdr:cNvCxnSpPr>
      </xdr:nvCxnSpPr>
      <xdr:spPr bwMode="auto">
        <a:xfrm>
          <a:off x="4733925" y="1371600"/>
          <a:ext cx="1238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126548</xdr:colOff>
      <xdr:row>9</xdr:row>
      <xdr:rowOff>103973</xdr:rowOff>
    </xdr:from>
    <xdr:to>
      <xdr:col>22</xdr:col>
      <xdr:colOff>130969</xdr:colOff>
      <xdr:row>17</xdr:row>
      <xdr:rowOff>77391</xdr:rowOff>
    </xdr:to>
    <xdr:cxnSp macro="">
      <xdr:nvCxnSpPr>
        <xdr:cNvPr id="79" name="Straight Connector 78">
          <a:extLst>
            <a:ext uri="{FF2B5EF4-FFF2-40B4-BE49-F238E27FC236}">
              <a16:creationId xmlns:a16="http://schemas.microsoft.com/office/drawing/2014/main" id="{3261205A-43C4-41F0-A612-DD811F74037E}"/>
            </a:ext>
          </a:extLst>
        </xdr:cNvPr>
        <xdr:cNvCxnSpPr/>
      </xdr:nvCxnSpPr>
      <xdr:spPr bwMode="auto">
        <a:xfrm>
          <a:off x="4615204" y="1383895"/>
          <a:ext cx="4421" cy="830668"/>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0</xdr:colOff>
      <xdr:row>17</xdr:row>
      <xdr:rowOff>76200</xdr:rowOff>
    </xdr:from>
    <xdr:to>
      <xdr:col>44</xdr:col>
      <xdr:colOff>0</xdr:colOff>
      <xdr:row>24</xdr:row>
      <xdr:rowOff>0</xdr:rowOff>
    </xdr:to>
    <xdr:cxnSp macro="">
      <xdr:nvCxnSpPr>
        <xdr:cNvPr id="36564" name="Straight Connector 79">
          <a:extLst>
            <a:ext uri="{FF2B5EF4-FFF2-40B4-BE49-F238E27FC236}">
              <a16:creationId xmlns:a16="http://schemas.microsoft.com/office/drawing/2014/main" id="{5EDDBDA4-AF1A-42C8-811D-D49BFB69C4B8}"/>
            </a:ext>
          </a:extLst>
        </xdr:cNvPr>
        <xdr:cNvCxnSpPr>
          <a:cxnSpLocks noChangeShapeType="1"/>
        </xdr:cNvCxnSpPr>
      </xdr:nvCxnSpPr>
      <xdr:spPr bwMode="auto">
        <a:xfrm>
          <a:off x="8915400" y="2181225"/>
          <a:ext cx="0" cy="65722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36</xdr:col>
      <xdr:colOff>11877</xdr:colOff>
      <xdr:row>22</xdr:row>
      <xdr:rowOff>76470</xdr:rowOff>
    </xdr:from>
    <xdr:to>
      <xdr:col>36</xdr:col>
      <xdr:colOff>49947</xdr:colOff>
      <xdr:row>23</xdr:row>
      <xdr:rowOff>17978</xdr:rowOff>
    </xdr:to>
    <xdr:sp macro="" textlink="">
      <xdr:nvSpPr>
        <xdr:cNvPr id="81" name="Oval 80">
          <a:extLst>
            <a:ext uri="{FF2B5EF4-FFF2-40B4-BE49-F238E27FC236}">
              <a16:creationId xmlns:a16="http://schemas.microsoft.com/office/drawing/2014/main" id="{03277755-48B3-467B-8A0E-96C197092E9B}"/>
            </a:ext>
          </a:extLst>
        </xdr:cNvPr>
        <xdr:cNvSpPr/>
      </xdr:nvSpPr>
      <xdr:spPr>
        <a:xfrm>
          <a:off x="7624493" y="2620162"/>
          <a:ext cx="38070" cy="4488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36</xdr:col>
      <xdr:colOff>104503</xdr:colOff>
      <xdr:row>22</xdr:row>
      <xdr:rowOff>30480</xdr:rowOff>
    </xdr:from>
    <xdr:to>
      <xdr:col>43</xdr:col>
      <xdr:colOff>134983</xdr:colOff>
      <xdr:row>22</xdr:row>
      <xdr:rowOff>43542</xdr:rowOff>
    </xdr:to>
    <xdr:cxnSp macro="">
      <xdr:nvCxnSpPr>
        <xdr:cNvPr id="36566" name="Straight Connector 81">
          <a:extLst>
            <a:ext uri="{FF2B5EF4-FFF2-40B4-BE49-F238E27FC236}">
              <a16:creationId xmlns:a16="http://schemas.microsoft.com/office/drawing/2014/main" id="{2E984B4B-9AE2-4397-AA07-825572B2842C}"/>
            </a:ext>
          </a:extLst>
        </xdr:cNvPr>
        <xdr:cNvCxnSpPr>
          <a:cxnSpLocks noChangeShapeType="1"/>
        </xdr:cNvCxnSpPr>
      </xdr:nvCxnSpPr>
      <xdr:spPr bwMode="auto">
        <a:xfrm flipH="1">
          <a:off x="7563394" y="2529840"/>
          <a:ext cx="1371600" cy="13062"/>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43</xdr:col>
      <xdr:colOff>134983</xdr:colOff>
      <xdr:row>26</xdr:row>
      <xdr:rowOff>0</xdr:rowOff>
    </xdr:from>
    <xdr:to>
      <xdr:col>45</xdr:col>
      <xdr:colOff>23813</xdr:colOff>
      <xdr:row>26</xdr:row>
      <xdr:rowOff>1</xdr:rowOff>
    </xdr:to>
    <xdr:cxnSp macro="">
      <xdr:nvCxnSpPr>
        <xdr:cNvPr id="83" name="Straight Arrow Connector 82">
          <a:extLst>
            <a:ext uri="{FF2B5EF4-FFF2-40B4-BE49-F238E27FC236}">
              <a16:creationId xmlns:a16="http://schemas.microsoft.com/office/drawing/2014/main" id="{428202E3-725F-446A-95C2-40F738B89649}"/>
            </a:ext>
          </a:extLst>
        </xdr:cNvPr>
        <xdr:cNvCxnSpPr/>
      </xdr:nvCxnSpPr>
      <xdr:spPr>
        <a:xfrm>
          <a:off x="8934994" y="2899954"/>
          <a:ext cx="272008" cy="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134983</xdr:colOff>
      <xdr:row>22</xdr:row>
      <xdr:rowOff>30480</xdr:rowOff>
    </xdr:from>
    <xdr:to>
      <xdr:col>43</xdr:col>
      <xdr:colOff>135530</xdr:colOff>
      <xdr:row>25</xdr:row>
      <xdr:rowOff>94433</xdr:rowOff>
    </xdr:to>
    <xdr:cxnSp macro="">
      <xdr:nvCxnSpPr>
        <xdr:cNvPr id="36568" name="Straight Connector 83">
          <a:extLst>
            <a:ext uri="{FF2B5EF4-FFF2-40B4-BE49-F238E27FC236}">
              <a16:creationId xmlns:a16="http://schemas.microsoft.com/office/drawing/2014/main" id="{9EC50DAD-DACE-4C62-BCF6-1DE1D56B1945}"/>
            </a:ext>
          </a:extLst>
        </xdr:cNvPr>
        <xdr:cNvCxnSpPr>
          <a:cxnSpLocks noChangeShapeType="1"/>
        </xdr:cNvCxnSpPr>
      </xdr:nvCxnSpPr>
      <xdr:spPr bwMode="auto">
        <a:xfrm>
          <a:off x="8934994" y="2529840"/>
          <a:ext cx="547" cy="364399"/>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12</xdr:row>
      <xdr:rowOff>66675</xdr:rowOff>
    </xdr:from>
    <xdr:to>
      <xdr:col>37</xdr:col>
      <xdr:colOff>0</xdr:colOff>
      <xdr:row>15</xdr:row>
      <xdr:rowOff>38100</xdr:rowOff>
    </xdr:to>
    <xdr:cxnSp macro="">
      <xdr:nvCxnSpPr>
        <xdr:cNvPr id="36569" name="Straight Connector 84">
          <a:extLst>
            <a:ext uri="{FF2B5EF4-FFF2-40B4-BE49-F238E27FC236}">
              <a16:creationId xmlns:a16="http://schemas.microsoft.com/office/drawing/2014/main" id="{1FC1781F-2CA4-429F-AB86-777CDA507618}"/>
            </a:ext>
          </a:extLst>
        </xdr:cNvPr>
        <xdr:cNvCxnSpPr>
          <a:cxnSpLocks noChangeShapeType="1"/>
        </xdr:cNvCxnSpPr>
      </xdr:nvCxnSpPr>
      <xdr:spPr bwMode="auto">
        <a:xfrm flipH="1" flipV="1">
          <a:off x="7581900" y="1647825"/>
          <a:ext cx="0" cy="28575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84913</xdr:colOff>
      <xdr:row>12</xdr:row>
      <xdr:rowOff>70145</xdr:rowOff>
    </xdr:from>
    <xdr:to>
      <xdr:col>44</xdr:col>
      <xdr:colOff>6226</xdr:colOff>
      <xdr:row>12</xdr:row>
      <xdr:rowOff>87157</xdr:rowOff>
    </xdr:to>
    <xdr:cxnSp macro="">
      <xdr:nvCxnSpPr>
        <xdr:cNvPr id="36570" name="Straight Connector 85">
          <a:extLst>
            <a:ext uri="{FF2B5EF4-FFF2-40B4-BE49-F238E27FC236}">
              <a16:creationId xmlns:a16="http://schemas.microsoft.com/office/drawing/2014/main" id="{C8BD10E6-6EC0-4C73-927A-88EB2C9E625E}"/>
            </a:ext>
          </a:extLst>
        </xdr:cNvPr>
        <xdr:cNvCxnSpPr>
          <a:cxnSpLocks noChangeShapeType="1"/>
        </xdr:cNvCxnSpPr>
      </xdr:nvCxnSpPr>
      <xdr:spPr bwMode="auto">
        <a:xfrm flipH="1" flipV="1">
          <a:off x="6327849" y="1580116"/>
          <a:ext cx="2856342" cy="17012"/>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0</xdr:colOff>
      <xdr:row>15</xdr:row>
      <xdr:rowOff>0</xdr:rowOff>
    </xdr:from>
    <xdr:to>
      <xdr:col>45</xdr:col>
      <xdr:colOff>23813</xdr:colOff>
      <xdr:row>15</xdr:row>
      <xdr:rowOff>0</xdr:rowOff>
    </xdr:to>
    <xdr:cxnSp macro="">
      <xdr:nvCxnSpPr>
        <xdr:cNvPr id="87" name="Straight Arrow Connector 86">
          <a:extLst>
            <a:ext uri="{FF2B5EF4-FFF2-40B4-BE49-F238E27FC236}">
              <a16:creationId xmlns:a16="http://schemas.microsoft.com/office/drawing/2014/main" id="{8AA37142-5AC0-4766-8241-B66FF7D34B08}"/>
            </a:ext>
          </a:extLst>
        </xdr:cNvPr>
        <xdr:cNvCxnSpPr/>
      </xdr:nvCxnSpPr>
      <xdr:spPr>
        <a:xfrm>
          <a:off x="10010775" y="1371600"/>
          <a:ext cx="21431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196725</xdr:colOff>
      <xdr:row>12</xdr:row>
      <xdr:rowOff>67298</xdr:rowOff>
    </xdr:from>
    <xdr:to>
      <xdr:col>44</xdr:col>
      <xdr:colOff>6226</xdr:colOff>
      <xdr:row>15</xdr:row>
      <xdr:rowOff>35547</xdr:rowOff>
    </xdr:to>
    <xdr:cxnSp macro="">
      <xdr:nvCxnSpPr>
        <xdr:cNvPr id="36572" name="Straight Connector 87">
          <a:extLst>
            <a:ext uri="{FF2B5EF4-FFF2-40B4-BE49-F238E27FC236}">
              <a16:creationId xmlns:a16="http://schemas.microsoft.com/office/drawing/2014/main" id="{B07B1016-BFF5-4673-A9F8-CDA0132A2D63}"/>
            </a:ext>
          </a:extLst>
        </xdr:cNvPr>
        <xdr:cNvCxnSpPr>
          <a:cxnSpLocks noChangeShapeType="1"/>
        </xdr:cNvCxnSpPr>
      </xdr:nvCxnSpPr>
      <xdr:spPr bwMode="auto">
        <a:xfrm>
          <a:off x="9323294" y="1555190"/>
          <a:ext cx="8716" cy="267073"/>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55378</xdr:colOff>
      <xdr:row>19</xdr:row>
      <xdr:rowOff>99680</xdr:rowOff>
    </xdr:from>
    <xdr:to>
      <xdr:col>44</xdr:col>
      <xdr:colOff>190888</xdr:colOff>
      <xdr:row>20</xdr:row>
      <xdr:rowOff>28</xdr:rowOff>
    </xdr:to>
    <xdr:cxnSp macro="">
      <xdr:nvCxnSpPr>
        <xdr:cNvPr id="89" name="Straight Arrow Connector 88">
          <a:extLst>
            <a:ext uri="{FF2B5EF4-FFF2-40B4-BE49-F238E27FC236}">
              <a16:creationId xmlns:a16="http://schemas.microsoft.com/office/drawing/2014/main" id="{76EE8DB8-222B-4F32-BEBF-3DEE742E7CA3}"/>
            </a:ext>
          </a:extLst>
        </xdr:cNvPr>
        <xdr:cNvCxnSpPr/>
      </xdr:nvCxnSpPr>
      <xdr:spPr>
        <a:xfrm>
          <a:off x="9233343" y="2333256"/>
          <a:ext cx="135510" cy="372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189476</xdr:colOff>
      <xdr:row>25</xdr:row>
      <xdr:rowOff>5121</xdr:rowOff>
    </xdr:from>
    <xdr:to>
      <xdr:col>52</xdr:col>
      <xdr:colOff>20484</xdr:colOff>
      <xdr:row>25</xdr:row>
      <xdr:rowOff>15363</xdr:rowOff>
    </xdr:to>
    <xdr:cxnSp macro="">
      <xdr:nvCxnSpPr>
        <xdr:cNvPr id="93" name="Straight Arrow Connector 92">
          <a:extLst>
            <a:ext uri="{FF2B5EF4-FFF2-40B4-BE49-F238E27FC236}">
              <a16:creationId xmlns:a16="http://schemas.microsoft.com/office/drawing/2014/main" id="{7F0D7953-5CEB-4341-9380-51FBC56EC559}"/>
            </a:ext>
          </a:extLst>
        </xdr:cNvPr>
        <xdr:cNvCxnSpPr/>
      </xdr:nvCxnSpPr>
      <xdr:spPr>
        <a:xfrm flipV="1">
          <a:off x="10293145" y="2847258"/>
          <a:ext cx="414799" cy="1024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174314</xdr:colOff>
      <xdr:row>24</xdr:row>
      <xdr:rowOff>7443</xdr:rowOff>
    </xdr:from>
    <xdr:to>
      <xdr:col>51</xdr:col>
      <xdr:colOff>198127</xdr:colOff>
      <xdr:row>24</xdr:row>
      <xdr:rowOff>7443</xdr:rowOff>
    </xdr:to>
    <xdr:cxnSp macro="">
      <xdr:nvCxnSpPr>
        <xdr:cNvPr id="94" name="Straight Arrow Connector 93">
          <a:extLst>
            <a:ext uri="{FF2B5EF4-FFF2-40B4-BE49-F238E27FC236}">
              <a16:creationId xmlns:a16="http://schemas.microsoft.com/office/drawing/2014/main" id="{0EA24C3B-89FF-4004-A727-DD005E6A455E}"/>
            </a:ext>
          </a:extLst>
        </xdr:cNvPr>
        <xdr:cNvCxnSpPr/>
      </xdr:nvCxnSpPr>
      <xdr:spPr>
        <a:xfrm>
          <a:off x="10695392" y="2690629"/>
          <a:ext cx="223029"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108857</xdr:colOff>
      <xdr:row>19</xdr:row>
      <xdr:rowOff>87824</xdr:rowOff>
    </xdr:from>
    <xdr:to>
      <xdr:col>36</xdr:col>
      <xdr:colOff>108857</xdr:colOff>
      <xdr:row>22</xdr:row>
      <xdr:rowOff>48635</xdr:rowOff>
    </xdr:to>
    <xdr:cxnSp macro="">
      <xdr:nvCxnSpPr>
        <xdr:cNvPr id="36586" name="Straight Connector 106">
          <a:extLst>
            <a:ext uri="{FF2B5EF4-FFF2-40B4-BE49-F238E27FC236}">
              <a16:creationId xmlns:a16="http://schemas.microsoft.com/office/drawing/2014/main" id="{5F85CAC0-429C-468F-AF90-1946110D1882}"/>
            </a:ext>
          </a:extLst>
        </xdr:cNvPr>
        <xdr:cNvCxnSpPr>
          <a:cxnSpLocks noChangeShapeType="1"/>
        </xdr:cNvCxnSpPr>
      </xdr:nvCxnSpPr>
      <xdr:spPr bwMode="auto">
        <a:xfrm flipV="1">
          <a:off x="7752769" y="2295711"/>
          <a:ext cx="0" cy="263698"/>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35</xdr:col>
      <xdr:colOff>191588</xdr:colOff>
      <xdr:row>20</xdr:row>
      <xdr:rowOff>4354</xdr:rowOff>
    </xdr:from>
    <xdr:to>
      <xdr:col>36</xdr:col>
      <xdr:colOff>108858</xdr:colOff>
      <xdr:row>20</xdr:row>
      <xdr:rowOff>8708</xdr:rowOff>
    </xdr:to>
    <xdr:cxnSp macro="">
      <xdr:nvCxnSpPr>
        <xdr:cNvPr id="36587" name="Straight Connector 107">
          <a:extLst>
            <a:ext uri="{FF2B5EF4-FFF2-40B4-BE49-F238E27FC236}">
              <a16:creationId xmlns:a16="http://schemas.microsoft.com/office/drawing/2014/main" id="{9F9ECDE9-B470-4471-AA3F-9F1BC962726D}"/>
            </a:ext>
          </a:extLst>
        </xdr:cNvPr>
        <xdr:cNvCxnSpPr>
          <a:cxnSpLocks noChangeShapeType="1"/>
        </xdr:cNvCxnSpPr>
      </xdr:nvCxnSpPr>
      <xdr:spPr bwMode="auto">
        <a:xfrm flipV="1">
          <a:off x="7458891" y="2303417"/>
          <a:ext cx="108858" cy="435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8</xdr:col>
      <xdr:colOff>0</xdr:colOff>
      <xdr:row>10</xdr:row>
      <xdr:rowOff>0</xdr:rowOff>
    </xdr:from>
    <xdr:to>
      <xdr:col>10</xdr:col>
      <xdr:colOff>6952</xdr:colOff>
      <xdr:row>10</xdr:row>
      <xdr:rowOff>0</xdr:rowOff>
    </xdr:to>
    <xdr:cxnSp macro="">
      <xdr:nvCxnSpPr>
        <xdr:cNvPr id="109" name="Straight Arrow Connector 108">
          <a:extLst>
            <a:ext uri="{FF2B5EF4-FFF2-40B4-BE49-F238E27FC236}">
              <a16:creationId xmlns:a16="http://schemas.microsoft.com/office/drawing/2014/main" id="{2D0E03F6-E0D0-4B6C-8893-08422A306F9B}"/>
            </a:ext>
          </a:extLst>
        </xdr:cNvPr>
        <xdr:cNvCxnSpPr/>
      </xdr:nvCxnSpPr>
      <xdr:spPr>
        <a:xfrm>
          <a:off x="1819275" y="1371600"/>
          <a:ext cx="387952"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127882</xdr:colOff>
      <xdr:row>10</xdr:row>
      <xdr:rowOff>0</xdr:rowOff>
    </xdr:from>
    <xdr:to>
      <xdr:col>17</xdr:col>
      <xdr:colOff>9525</xdr:colOff>
      <xdr:row>10</xdr:row>
      <xdr:rowOff>0</xdr:rowOff>
    </xdr:to>
    <xdr:cxnSp macro="">
      <xdr:nvCxnSpPr>
        <xdr:cNvPr id="36589" name="Straight Arrow Connector 109">
          <a:extLst>
            <a:ext uri="{FF2B5EF4-FFF2-40B4-BE49-F238E27FC236}">
              <a16:creationId xmlns:a16="http://schemas.microsoft.com/office/drawing/2014/main" id="{4B146A2F-A0D4-45B5-9CAF-B66925A2378C}"/>
            </a:ext>
          </a:extLst>
        </xdr:cNvPr>
        <xdr:cNvCxnSpPr>
          <a:cxnSpLocks noChangeShapeType="1"/>
        </xdr:cNvCxnSpPr>
      </xdr:nvCxnSpPr>
      <xdr:spPr bwMode="auto">
        <a:xfrm>
          <a:off x="3664479" y="1300868"/>
          <a:ext cx="278518" cy="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127883</xdr:colOff>
      <xdr:row>9</xdr:row>
      <xdr:rowOff>100460</xdr:rowOff>
    </xdr:from>
    <xdr:to>
      <xdr:col>15</xdr:col>
      <xdr:colOff>131885</xdr:colOff>
      <xdr:row>12</xdr:row>
      <xdr:rowOff>68443</xdr:rowOff>
    </xdr:to>
    <xdr:cxnSp macro="">
      <xdr:nvCxnSpPr>
        <xdr:cNvPr id="113" name="Straight Connector 112">
          <a:extLst>
            <a:ext uri="{FF2B5EF4-FFF2-40B4-BE49-F238E27FC236}">
              <a16:creationId xmlns:a16="http://schemas.microsoft.com/office/drawing/2014/main" id="{8EA5E15F-CC31-4F11-870A-34BEAACBF59F}"/>
            </a:ext>
          </a:extLst>
        </xdr:cNvPr>
        <xdr:cNvCxnSpPr/>
      </xdr:nvCxnSpPr>
      <xdr:spPr bwMode="auto">
        <a:xfrm>
          <a:off x="3664480" y="1299904"/>
          <a:ext cx="4002" cy="272254"/>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131379</xdr:colOff>
      <xdr:row>12</xdr:row>
      <xdr:rowOff>64449</xdr:rowOff>
    </xdr:from>
    <xdr:to>
      <xdr:col>15</xdr:col>
      <xdr:colOff>154117</xdr:colOff>
      <xdr:row>12</xdr:row>
      <xdr:rowOff>74203</xdr:rowOff>
    </xdr:to>
    <xdr:cxnSp macro="">
      <xdr:nvCxnSpPr>
        <xdr:cNvPr id="36591" name="Straight Connector 114">
          <a:extLst>
            <a:ext uri="{FF2B5EF4-FFF2-40B4-BE49-F238E27FC236}">
              <a16:creationId xmlns:a16="http://schemas.microsoft.com/office/drawing/2014/main" id="{78BFABD4-5211-48C8-8B4B-1BABC1A35374}"/>
            </a:ext>
          </a:extLst>
        </xdr:cNvPr>
        <xdr:cNvCxnSpPr>
          <a:cxnSpLocks noChangeShapeType="1"/>
          <a:endCxn id="125" idx="5"/>
        </xdr:cNvCxnSpPr>
      </xdr:nvCxnSpPr>
      <xdr:spPr bwMode="auto">
        <a:xfrm>
          <a:off x="2269942" y="1568012"/>
          <a:ext cx="1402221" cy="975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9</xdr:col>
      <xdr:colOff>0</xdr:colOff>
      <xdr:row>9</xdr:row>
      <xdr:rowOff>100052</xdr:rowOff>
    </xdr:from>
    <xdr:to>
      <xdr:col>9</xdr:col>
      <xdr:colOff>8004</xdr:colOff>
      <xdr:row>15</xdr:row>
      <xdr:rowOff>0</xdr:rowOff>
    </xdr:to>
    <xdr:cxnSp macro="">
      <xdr:nvCxnSpPr>
        <xdr:cNvPr id="118" name="Straight Connector 117">
          <a:extLst>
            <a:ext uri="{FF2B5EF4-FFF2-40B4-BE49-F238E27FC236}">
              <a16:creationId xmlns:a16="http://schemas.microsoft.com/office/drawing/2014/main" id="{9612C901-9DC1-4924-868F-61066100AAE2}"/>
            </a:ext>
          </a:extLst>
        </xdr:cNvPr>
        <xdr:cNvCxnSpPr/>
      </xdr:nvCxnSpPr>
      <xdr:spPr bwMode="auto">
        <a:xfrm flipH="1">
          <a:off x="2021061" y="1368718"/>
          <a:ext cx="8004" cy="524276"/>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184097</xdr:colOff>
      <xdr:row>9</xdr:row>
      <xdr:rowOff>92049</xdr:rowOff>
    </xdr:from>
    <xdr:to>
      <xdr:col>9</xdr:col>
      <xdr:colOff>33553</xdr:colOff>
      <xdr:row>10</xdr:row>
      <xdr:rowOff>33557</xdr:rowOff>
    </xdr:to>
    <xdr:sp macro="" textlink="">
      <xdr:nvSpPr>
        <xdr:cNvPr id="119" name="Oval 118">
          <a:extLst>
            <a:ext uri="{FF2B5EF4-FFF2-40B4-BE49-F238E27FC236}">
              <a16:creationId xmlns:a16="http://schemas.microsoft.com/office/drawing/2014/main" id="{D9CE7DDC-2D8E-4B60-ABE3-A5BFC0A2C177}"/>
            </a:ext>
          </a:extLst>
        </xdr:cNvPr>
        <xdr:cNvSpPr/>
      </xdr:nvSpPr>
      <xdr:spPr>
        <a:xfrm>
          <a:off x="2013057" y="1360715"/>
          <a:ext cx="41557" cy="45563"/>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9</xdr:col>
      <xdr:colOff>0</xdr:colOff>
      <xdr:row>15</xdr:row>
      <xdr:rowOff>0</xdr:rowOff>
    </xdr:from>
    <xdr:to>
      <xdr:col>10</xdr:col>
      <xdr:colOff>9525</xdr:colOff>
      <xdr:row>15</xdr:row>
      <xdr:rowOff>0</xdr:rowOff>
    </xdr:to>
    <xdr:cxnSp macro="">
      <xdr:nvCxnSpPr>
        <xdr:cNvPr id="36594" name="Straight Arrow Connector 121">
          <a:extLst>
            <a:ext uri="{FF2B5EF4-FFF2-40B4-BE49-F238E27FC236}">
              <a16:creationId xmlns:a16="http://schemas.microsoft.com/office/drawing/2014/main" id="{B3A0256B-0FF3-4934-907E-9F9D4A750D16}"/>
            </a:ext>
          </a:extLst>
        </xdr:cNvPr>
        <xdr:cNvCxnSpPr>
          <a:cxnSpLocks noChangeShapeType="1"/>
        </xdr:cNvCxnSpPr>
      </xdr:nvCxnSpPr>
      <xdr:spPr bwMode="auto">
        <a:xfrm>
          <a:off x="2247900" y="1895475"/>
          <a:ext cx="200025" cy="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188099</xdr:colOff>
      <xdr:row>12</xdr:row>
      <xdr:rowOff>28014</xdr:rowOff>
    </xdr:from>
    <xdr:to>
      <xdr:col>9</xdr:col>
      <xdr:colOff>37555</xdr:colOff>
      <xdr:row>12</xdr:row>
      <xdr:rowOff>73577</xdr:rowOff>
    </xdr:to>
    <xdr:sp macro="" textlink="">
      <xdr:nvSpPr>
        <xdr:cNvPr id="123" name="Oval 122">
          <a:extLst>
            <a:ext uri="{FF2B5EF4-FFF2-40B4-BE49-F238E27FC236}">
              <a16:creationId xmlns:a16="http://schemas.microsoft.com/office/drawing/2014/main" id="{41B23418-1F43-4836-922E-3B5C8D25D0E6}"/>
            </a:ext>
          </a:extLst>
        </xdr:cNvPr>
        <xdr:cNvSpPr/>
      </xdr:nvSpPr>
      <xdr:spPr>
        <a:xfrm>
          <a:off x="2017059" y="1608844"/>
          <a:ext cx="41557" cy="45563"/>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15</xdr:col>
      <xdr:colOff>114405</xdr:colOff>
      <xdr:row>12</xdr:row>
      <xdr:rowOff>35313</xdr:rowOff>
    </xdr:from>
    <xdr:to>
      <xdr:col>15</xdr:col>
      <xdr:colOff>160930</xdr:colOff>
      <xdr:row>12</xdr:row>
      <xdr:rowOff>80876</xdr:rowOff>
    </xdr:to>
    <xdr:sp macro="" textlink="">
      <xdr:nvSpPr>
        <xdr:cNvPr id="125" name="Oval 124">
          <a:extLst>
            <a:ext uri="{FF2B5EF4-FFF2-40B4-BE49-F238E27FC236}">
              <a16:creationId xmlns:a16="http://schemas.microsoft.com/office/drawing/2014/main" id="{6C317812-FC72-499D-9E5B-3DE332A03C6B}"/>
            </a:ext>
          </a:extLst>
        </xdr:cNvPr>
        <xdr:cNvSpPr/>
      </xdr:nvSpPr>
      <xdr:spPr>
        <a:xfrm>
          <a:off x="3632451" y="1538876"/>
          <a:ext cx="46525" cy="45563"/>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15</xdr:col>
      <xdr:colOff>109483</xdr:colOff>
      <xdr:row>40</xdr:row>
      <xdr:rowOff>2382</xdr:rowOff>
    </xdr:from>
    <xdr:to>
      <xdr:col>17</xdr:col>
      <xdr:colOff>13981</xdr:colOff>
      <xdr:row>40</xdr:row>
      <xdr:rowOff>21896</xdr:rowOff>
    </xdr:to>
    <xdr:cxnSp macro="">
      <xdr:nvCxnSpPr>
        <xdr:cNvPr id="126" name="Straight Arrow Connector 125">
          <a:extLst>
            <a:ext uri="{FF2B5EF4-FFF2-40B4-BE49-F238E27FC236}">
              <a16:creationId xmlns:a16="http://schemas.microsoft.com/office/drawing/2014/main" id="{6640FA52-33E7-4241-8109-D738EF258289}"/>
            </a:ext>
          </a:extLst>
        </xdr:cNvPr>
        <xdr:cNvCxnSpPr/>
      </xdr:nvCxnSpPr>
      <xdr:spPr>
        <a:xfrm flipV="1">
          <a:off x="3627529" y="4520371"/>
          <a:ext cx="298636" cy="195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109483</xdr:colOff>
      <xdr:row>12</xdr:row>
      <xdr:rowOff>74630</xdr:rowOff>
    </xdr:from>
    <xdr:to>
      <xdr:col>15</xdr:col>
      <xdr:colOff>124081</xdr:colOff>
      <xdr:row>40</xdr:row>
      <xdr:rowOff>21896</xdr:rowOff>
    </xdr:to>
    <xdr:cxnSp macro="">
      <xdr:nvCxnSpPr>
        <xdr:cNvPr id="127" name="Straight Connector 126">
          <a:extLst>
            <a:ext uri="{FF2B5EF4-FFF2-40B4-BE49-F238E27FC236}">
              <a16:creationId xmlns:a16="http://schemas.microsoft.com/office/drawing/2014/main" id="{F2A31CC5-568C-47A8-AE47-BD4F25936E4A}"/>
            </a:ext>
          </a:extLst>
        </xdr:cNvPr>
        <xdr:cNvCxnSpPr/>
      </xdr:nvCxnSpPr>
      <xdr:spPr bwMode="auto">
        <a:xfrm flipH="1">
          <a:off x="3627529" y="1578193"/>
          <a:ext cx="14598" cy="2961692"/>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85725</xdr:colOff>
      <xdr:row>7</xdr:row>
      <xdr:rowOff>57150</xdr:rowOff>
    </xdr:from>
    <xdr:to>
      <xdr:col>23</xdr:col>
      <xdr:colOff>0</xdr:colOff>
      <xdr:row>7</xdr:row>
      <xdr:rowOff>57150</xdr:rowOff>
    </xdr:to>
    <xdr:cxnSp macro="">
      <xdr:nvCxnSpPr>
        <xdr:cNvPr id="36599" name="Straight Connector 128">
          <a:extLst>
            <a:ext uri="{FF2B5EF4-FFF2-40B4-BE49-F238E27FC236}">
              <a16:creationId xmlns:a16="http://schemas.microsoft.com/office/drawing/2014/main" id="{AD240945-8DB5-41FB-B079-EAA2CBB0F4AB}"/>
            </a:ext>
          </a:extLst>
        </xdr:cNvPr>
        <xdr:cNvCxnSpPr>
          <a:cxnSpLocks noChangeShapeType="1"/>
        </xdr:cNvCxnSpPr>
      </xdr:nvCxnSpPr>
      <xdr:spPr bwMode="auto">
        <a:xfrm>
          <a:off x="3476625" y="1114425"/>
          <a:ext cx="143827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0</xdr:colOff>
      <xdr:row>7</xdr:row>
      <xdr:rowOff>60032</xdr:rowOff>
    </xdr:from>
    <xdr:to>
      <xdr:col>23</xdr:col>
      <xdr:colOff>4002</xdr:colOff>
      <xdr:row>10</xdr:row>
      <xdr:rowOff>4002</xdr:rowOff>
    </xdr:to>
    <xdr:cxnSp macro="">
      <xdr:nvCxnSpPr>
        <xdr:cNvPr id="132" name="Straight Connector 131">
          <a:extLst>
            <a:ext uri="{FF2B5EF4-FFF2-40B4-BE49-F238E27FC236}">
              <a16:creationId xmlns:a16="http://schemas.microsoft.com/office/drawing/2014/main" id="{0D41B672-3F1B-4D48-BCC4-423EDA2FDEE4}"/>
            </a:ext>
          </a:extLst>
        </xdr:cNvPr>
        <xdr:cNvCxnSpPr/>
      </xdr:nvCxnSpPr>
      <xdr:spPr bwMode="auto">
        <a:xfrm>
          <a:off x="4710473" y="1120589"/>
          <a:ext cx="4002" cy="256134"/>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92048</xdr:colOff>
      <xdr:row>7</xdr:row>
      <xdr:rowOff>52027</xdr:rowOff>
    </xdr:from>
    <xdr:to>
      <xdr:col>15</xdr:col>
      <xdr:colOff>96050</xdr:colOff>
      <xdr:row>9</xdr:row>
      <xdr:rowOff>100052</xdr:rowOff>
    </xdr:to>
    <xdr:cxnSp macro="">
      <xdr:nvCxnSpPr>
        <xdr:cNvPr id="134" name="Straight Connector 133">
          <a:extLst>
            <a:ext uri="{FF2B5EF4-FFF2-40B4-BE49-F238E27FC236}">
              <a16:creationId xmlns:a16="http://schemas.microsoft.com/office/drawing/2014/main" id="{72EB4557-EB94-4137-9070-0F87A7696355}"/>
            </a:ext>
          </a:extLst>
        </xdr:cNvPr>
        <xdr:cNvCxnSpPr/>
      </xdr:nvCxnSpPr>
      <xdr:spPr bwMode="auto">
        <a:xfrm>
          <a:off x="3265714" y="1112584"/>
          <a:ext cx="4002" cy="256134"/>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190500</xdr:colOff>
      <xdr:row>9</xdr:row>
      <xdr:rowOff>104775</xdr:rowOff>
    </xdr:from>
    <xdr:to>
      <xdr:col>15</xdr:col>
      <xdr:colOff>95250</xdr:colOff>
      <xdr:row>9</xdr:row>
      <xdr:rowOff>104775</xdr:rowOff>
    </xdr:to>
    <xdr:cxnSp macro="">
      <xdr:nvCxnSpPr>
        <xdr:cNvPr id="36602" name="Straight Connector 135">
          <a:extLst>
            <a:ext uri="{FF2B5EF4-FFF2-40B4-BE49-F238E27FC236}">
              <a16:creationId xmlns:a16="http://schemas.microsoft.com/office/drawing/2014/main" id="{8084A867-9415-42B1-9599-D4D16E9D2E5C}"/>
            </a:ext>
          </a:extLst>
        </xdr:cNvPr>
        <xdr:cNvCxnSpPr>
          <a:cxnSpLocks noChangeShapeType="1"/>
        </xdr:cNvCxnSpPr>
      </xdr:nvCxnSpPr>
      <xdr:spPr bwMode="auto">
        <a:xfrm flipH="1">
          <a:off x="3390900" y="1371600"/>
          <a:ext cx="95250"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5893</xdr:colOff>
      <xdr:row>12</xdr:row>
      <xdr:rowOff>28014</xdr:rowOff>
    </xdr:from>
    <xdr:to>
      <xdr:col>23</xdr:col>
      <xdr:colOff>9895</xdr:colOff>
      <xdr:row>15</xdr:row>
      <xdr:rowOff>4002</xdr:rowOff>
    </xdr:to>
    <xdr:cxnSp macro="">
      <xdr:nvCxnSpPr>
        <xdr:cNvPr id="138" name="Straight Connector 137">
          <a:extLst>
            <a:ext uri="{FF2B5EF4-FFF2-40B4-BE49-F238E27FC236}">
              <a16:creationId xmlns:a16="http://schemas.microsoft.com/office/drawing/2014/main" id="{49086673-DBC0-4FBC-AD9F-470B13A20070}"/>
            </a:ext>
          </a:extLst>
        </xdr:cNvPr>
        <xdr:cNvCxnSpPr/>
      </xdr:nvCxnSpPr>
      <xdr:spPr bwMode="auto">
        <a:xfrm>
          <a:off x="5129990" y="1531729"/>
          <a:ext cx="4002" cy="280259"/>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4410</xdr:colOff>
      <xdr:row>15</xdr:row>
      <xdr:rowOff>6791</xdr:rowOff>
    </xdr:from>
    <xdr:to>
      <xdr:col>24</xdr:col>
      <xdr:colOff>18392</xdr:colOff>
      <xdr:row>15</xdr:row>
      <xdr:rowOff>13229</xdr:rowOff>
    </xdr:to>
    <xdr:cxnSp macro="">
      <xdr:nvCxnSpPr>
        <xdr:cNvPr id="144" name="Straight Arrow Connector 143">
          <a:extLst>
            <a:ext uri="{FF2B5EF4-FFF2-40B4-BE49-F238E27FC236}">
              <a16:creationId xmlns:a16="http://schemas.microsoft.com/office/drawing/2014/main" id="{B016940A-227B-4D81-B2DC-5CB50966F496}"/>
            </a:ext>
          </a:extLst>
        </xdr:cNvPr>
        <xdr:cNvCxnSpPr/>
      </xdr:nvCxnSpPr>
      <xdr:spPr>
        <a:xfrm flipV="1">
          <a:off x="4930070" y="1814777"/>
          <a:ext cx="410857" cy="643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180094</xdr:colOff>
      <xdr:row>14</xdr:row>
      <xdr:rowOff>95790</xdr:rowOff>
    </xdr:from>
    <xdr:to>
      <xdr:col>23</xdr:col>
      <xdr:colOff>29550</xdr:colOff>
      <xdr:row>15</xdr:row>
      <xdr:rowOff>39929</xdr:rowOff>
    </xdr:to>
    <xdr:sp macro="" textlink="">
      <xdr:nvSpPr>
        <xdr:cNvPr id="146" name="Oval 145">
          <a:extLst>
            <a:ext uri="{FF2B5EF4-FFF2-40B4-BE49-F238E27FC236}">
              <a16:creationId xmlns:a16="http://schemas.microsoft.com/office/drawing/2014/main" id="{227192BF-F2C0-49F4-8371-8E6BD95E584F}"/>
            </a:ext>
          </a:extLst>
        </xdr:cNvPr>
        <xdr:cNvSpPr/>
      </xdr:nvSpPr>
      <xdr:spPr>
        <a:xfrm>
          <a:off x="5105754" y="1802353"/>
          <a:ext cx="47893" cy="45562"/>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30</xdr:col>
      <xdr:colOff>0</xdr:colOff>
      <xdr:row>22</xdr:row>
      <xdr:rowOff>32305</xdr:rowOff>
    </xdr:from>
    <xdr:to>
      <xdr:col>30</xdr:col>
      <xdr:colOff>2799</xdr:colOff>
      <xdr:row>30</xdr:row>
      <xdr:rowOff>0</xdr:rowOff>
    </xdr:to>
    <xdr:cxnSp macro="">
      <xdr:nvCxnSpPr>
        <xdr:cNvPr id="122" name="Straight Connector 121">
          <a:extLst>
            <a:ext uri="{FF2B5EF4-FFF2-40B4-BE49-F238E27FC236}">
              <a16:creationId xmlns:a16="http://schemas.microsoft.com/office/drawing/2014/main" id="{107C81D1-168D-4F21-A189-364649FA0CF9}"/>
            </a:ext>
          </a:extLst>
        </xdr:cNvPr>
        <xdr:cNvCxnSpPr/>
      </xdr:nvCxnSpPr>
      <xdr:spPr bwMode="auto">
        <a:xfrm flipH="1">
          <a:off x="6513160" y="2550256"/>
          <a:ext cx="2799" cy="779084"/>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63</xdr:col>
      <xdr:colOff>5953</xdr:colOff>
      <xdr:row>55</xdr:row>
      <xdr:rowOff>59531</xdr:rowOff>
    </xdr:from>
    <xdr:to>
      <xdr:col>64</xdr:col>
      <xdr:colOff>95250</xdr:colOff>
      <xdr:row>55</xdr:row>
      <xdr:rowOff>59531</xdr:rowOff>
    </xdr:to>
    <xdr:cxnSp macro="">
      <xdr:nvCxnSpPr>
        <xdr:cNvPr id="30" name="Straight Connector 29">
          <a:extLst>
            <a:ext uri="{FF2B5EF4-FFF2-40B4-BE49-F238E27FC236}">
              <a16:creationId xmlns:a16="http://schemas.microsoft.com/office/drawing/2014/main" id="{2AFE8515-421E-462D-9AD6-5A16BA35DCB9}"/>
            </a:ext>
          </a:extLst>
        </xdr:cNvPr>
        <xdr:cNvCxnSpPr/>
      </xdr:nvCxnSpPr>
      <xdr:spPr bwMode="auto">
        <a:xfrm>
          <a:off x="12305109" y="6566297"/>
          <a:ext cx="279797"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29</xdr:col>
      <xdr:colOff>184547</xdr:colOff>
      <xdr:row>22</xdr:row>
      <xdr:rowOff>29763</xdr:rowOff>
    </xdr:from>
    <xdr:to>
      <xdr:col>30</xdr:col>
      <xdr:colOff>34003</xdr:colOff>
      <xdr:row>22</xdr:row>
      <xdr:rowOff>78427</xdr:rowOff>
    </xdr:to>
    <xdr:sp macro="" textlink="">
      <xdr:nvSpPr>
        <xdr:cNvPr id="148" name="Oval 147">
          <a:extLst>
            <a:ext uri="{FF2B5EF4-FFF2-40B4-BE49-F238E27FC236}">
              <a16:creationId xmlns:a16="http://schemas.microsoft.com/office/drawing/2014/main" id="{1C5744A6-204B-4ABD-8323-2CF75A73E5DC}"/>
            </a:ext>
          </a:extLst>
        </xdr:cNvPr>
        <xdr:cNvSpPr/>
      </xdr:nvSpPr>
      <xdr:spPr>
        <a:xfrm rot="11237722">
          <a:off x="6356747" y="2515055"/>
          <a:ext cx="42887" cy="48664"/>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8</xdr:col>
      <xdr:colOff>0</xdr:colOff>
      <xdr:row>40</xdr:row>
      <xdr:rowOff>6185</xdr:rowOff>
    </xdr:from>
    <xdr:to>
      <xdr:col>10</xdr:col>
      <xdr:colOff>6951</xdr:colOff>
      <xdr:row>40</xdr:row>
      <xdr:rowOff>6185</xdr:rowOff>
    </xdr:to>
    <xdr:cxnSp macro="">
      <xdr:nvCxnSpPr>
        <xdr:cNvPr id="6" name="Straight Arrow Connector 5">
          <a:extLst>
            <a:ext uri="{FF2B5EF4-FFF2-40B4-BE49-F238E27FC236}">
              <a16:creationId xmlns:a16="http://schemas.microsoft.com/office/drawing/2014/main" id="{F2EE1F58-EA62-462B-A620-AC4DDCB3417C}"/>
            </a:ext>
          </a:extLst>
        </xdr:cNvPr>
        <xdr:cNvCxnSpPr/>
      </xdr:nvCxnSpPr>
      <xdr:spPr>
        <a:xfrm>
          <a:off x="11588262" y="3874800"/>
          <a:ext cx="393812"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169817</xdr:colOff>
      <xdr:row>27</xdr:row>
      <xdr:rowOff>22861</xdr:rowOff>
    </xdr:from>
    <xdr:to>
      <xdr:col>22</xdr:col>
      <xdr:colOff>169817</xdr:colOff>
      <xdr:row>29</xdr:row>
      <xdr:rowOff>98997</xdr:rowOff>
    </xdr:to>
    <xdr:cxnSp macro="">
      <xdr:nvCxnSpPr>
        <xdr:cNvPr id="9" name="Straight Connector 8">
          <a:extLst>
            <a:ext uri="{FF2B5EF4-FFF2-40B4-BE49-F238E27FC236}">
              <a16:creationId xmlns:a16="http://schemas.microsoft.com/office/drawing/2014/main" id="{6D920F7B-37C7-4DE8-9059-2D7F40601D99}"/>
            </a:ext>
          </a:extLst>
        </xdr:cNvPr>
        <xdr:cNvCxnSpPr/>
      </xdr:nvCxnSpPr>
      <xdr:spPr bwMode="auto">
        <a:xfrm>
          <a:off x="4946468" y="3022964"/>
          <a:ext cx="0" cy="276433"/>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29</xdr:col>
      <xdr:colOff>0</xdr:colOff>
      <xdr:row>20</xdr:row>
      <xdr:rowOff>0</xdr:rowOff>
    </xdr:from>
    <xdr:to>
      <xdr:col>29</xdr:col>
      <xdr:colOff>76200</xdr:colOff>
      <xdr:row>20</xdr:row>
      <xdr:rowOff>816</xdr:rowOff>
    </xdr:to>
    <xdr:cxnSp macro="">
      <xdr:nvCxnSpPr>
        <xdr:cNvPr id="20" name="Straight Connector 139">
          <a:extLst>
            <a:ext uri="{FF2B5EF4-FFF2-40B4-BE49-F238E27FC236}">
              <a16:creationId xmlns:a16="http://schemas.microsoft.com/office/drawing/2014/main" id="{732C986C-ABF7-42AE-9678-409AC05DBF32}"/>
            </a:ext>
          </a:extLst>
        </xdr:cNvPr>
        <xdr:cNvCxnSpPr>
          <a:cxnSpLocks noChangeShapeType="1"/>
        </xdr:cNvCxnSpPr>
      </xdr:nvCxnSpPr>
      <xdr:spPr bwMode="auto">
        <a:xfrm flipH="1">
          <a:off x="6090557" y="2264229"/>
          <a:ext cx="76200" cy="816"/>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76200</xdr:colOff>
      <xdr:row>19</xdr:row>
      <xdr:rowOff>92529</xdr:rowOff>
    </xdr:from>
    <xdr:to>
      <xdr:col>29</xdr:col>
      <xdr:colOff>85687</xdr:colOff>
      <xdr:row>27</xdr:row>
      <xdr:rowOff>58145</xdr:rowOff>
    </xdr:to>
    <xdr:cxnSp macro="">
      <xdr:nvCxnSpPr>
        <xdr:cNvPr id="24" name="Straight Connector 23">
          <a:extLst>
            <a:ext uri="{FF2B5EF4-FFF2-40B4-BE49-F238E27FC236}">
              <a16:creationId xmlns:a16="http://schemas.microsoft.com/office/drawing/2014/main" id="{FF0367EE-0BDF-4943-9E0C-081593EA6E73}"/>
            </a:ext>
          </a:extLst>
        </xdr:cNvPr>
        <xdr:cNvCxnSpPr/>
      </xdr:nvCxnSpPr>
      <xdr:spPr bwMode="auto">
        <a:xfrm>
          <a:off x="6144658" y="2256119"/>
          <a:ext cx="9487" cy="749038"/>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29</xdr:col>
      <xdr:colOff>86940</xdr:colOff>
      <xdr:row>27</xdr:row>
      <xdr:rowOff>56255</xdr:rowOff>
    </xdr:from>
    <xdr:to>
      <xdr:col>36</xdr:col>
      <xdr:colOff>127532</xdr:colOff>
      <xdr:row>27</xdr:row>
      <xdr:rowOff>74393</xdr:rowOff>
    </xdr:to>
    <xdr:cxnSp macro="">
      <xdr:nvCxnSpPr>
        <xdr:cNvPr id="27" name="Straight Connector 26">
          <a:extLst>
            <a:ext uri="{FF2B5EF4-FFF2-40B4-BE49-F238E27FC236}">
              <a16:creationId xmlns:a16="http://schemas.microsoft.com/office/drawing/2014/main" id="{C454EF4B-F40F-85F6-2684-BEC1F49BA6A8}"/>
            </a:ext>
          </a:extLst>
        </xdr:cNvPr>
        <xdr:cNvCxnSpPr/>
      </xdr:nvCxnSpPr>
      <xdr:spPr bwMode="auto">
        <a:xfrm>
          <a:off x="6354576" y="3071841"/>
          <a:ext cx="1416868" cy="18138"/>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37</xdr:col>
      <xdr:colOff>61109</xdr:colOff>
      <xdr:row>30</xdr:row>
      <xdr:rowOff>5314</xdr:rowOff>
    </xdr:from>
    <xdr:to>
      <xdr:col>38</xdr:col>
      <xdr:colOff>5436</xdr:colOff>
      <xdr:row>30</xdr:row>
      <xdr:rowOff>6125</xdr:rowOff>
    </xdr:to>
    <xdr:cxnSp macro="">
      <xdr:nvCxnSpPr>
        <xdr:cNvPr id="29" name="Straight Arrow Connector 28">
          <a:extLst>
            <a:ext uri="{FF2B5EF4-FFF2-40B4-BE49-F238E27FC236}">
              <a16:creationId xmlns:a16="http://schemas.microsoft.com/office/drawing/2014/main" id="{835D09D8-BC8E-46BA-8F94-B462BD0E4EAD}"/>
            </a:ext>
          </a:extLst>
        </xdr:cNvPr>
        <xdr:cNvCxnSpPr/>
      </xdr:nvCxnSpPr>
      <xdr:spPr>
        <a:xfrm>
          <a:off x="7901632" y="3323787"/>
          <a:ext cx="140938" cy="8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169818</xdr:colOff>
      <xdr:row>27</xdr:row>
      <xdr:rowOff>30480</xdr:rowOff>
    </xdr:from>
    <xdr:to>
      <xdr:col>22</xdr:col>
      <xdr:colOff>173900</xdr:colOff>
      <xdr:row>27</xdr:row>
      <xdr:rowOff>47897</xdr:rowOff>
    </xdr:to>
    <xdr:cxnSp macro="">
      <xdr:nvCxnSpPr>
        <xdr:cNvPr id="35" name="Straight Connector 39">
          <a:extLst>
            <a:ext uri="{FF2B5EF4-FFF2-40B4-BE49-F238E27FC236}">
              <a16:creationId xmlns:a16="http://schemas.microsoft.com/office/drawing/2014/main" id="{DF856C0E-7173-42A0-9582-BC29E3D68660}"/>
            </a:ext>
          </a:extLst>
        </xdr:cNvPr>
        <xdr:cNvCxnSpPr>
          <a:cxnSpLocks noChangeShapeType="1"/>
        </xdr:cNvCxnSpPr>
      </xdr:nvCxnSpPr>
      <xdr:spPr bwMode="auto">
        <a:xfrm flipH="1">
          <a:off x="3605349" y="3030583"/>
          <a:ext cx="1345202" cy="17417"/>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8709</xdr:colOff>
      <xdr:row>24</xdr:row>
      <xdr:rowOff>95795</xdr:rowOff>
    </xdr:from>
    <xdr:to>
      <xdr:col>16</xdr:col>
      <xdr:colOff>8709</xdr:colOff>
      <xdr:row>27</xdr:row>
      <xdr:rowOff>71782</xdr:rowOff>
    </xdr:to>
    <xdr:cxnSp macro="">
      <xdr:nvCxnSpPr>
        <xdr:cNvPr id="37" name="Straight Connector 36">
          <a:extLst>
            <a:ext uri="{FF2B5EF4-FFF2-40B4-BE49-F238E27FC236}">
              <a16:creationId xmlns:a16="http://schemas.microsoft.com/office/drawing/2014/main" id="{B2ACA5A2-6FF2-49A4-9ED6-08069B201C41}"/>
            </a:ext>
          </a:extLst>
        </xdr:cNvPr>
        <xdr:cNvCxnSpPr/>
      </xdr:nvCxnSpPr>
      <xdr:spPr bwMode="auto">
        <a:xfrm>
          <a:off x="3635829" y="2795452"/>
          <a:ext cx="0" cy="276433"/>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182881</xdr:colOff>
      <xdr:row>24</xdr:row>
      <xdr:rowOff>87080</xdr:rowOff>
    </xdr:from>
    <xdr:to>
      <xdr:col>16</xdr:col>
      <xdr:colOff>32337</xdr:colOff>
      <xdr:row>25</xdr:row>
      <xdr:rowOff>28588</xdr:rowOff>
    </xdr:to>
    <xdr:sp macro="" textlink="">
      <xdr:nvSpPr>
        <xdr:cNvPr id="40" name="Oval 39">
          <a:extLst>
            <a:ext uri="{FF2B5EF4-FFF2-40B4-BE49-F238E27FC236}">
              <a16:creationId xmlns:a16="http://schemas.microsoft.com/office/drawing/2014/main" id="{190A600D-6DDE-4885-A82A-536380A556E6}"/>
            </a:ext>
          </a:extLst>
        </xdr:cNvPr>
        <xdr:cNvSpPr/>
      </xdr:nvSpPr>
      <xdr:spPr>
        <a:xfrm>
          <a:off x="3618412" y="2786737"/>
          <a:ext cx="41045" cy="41657"/>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22</xdr:col>
      <xdr:colOff>187235</xdr:colOff>
      <xdr:row>29</xdr:row>
      <xdr:rowOff>95794</xdr:rowOff>
    </xdr:from>
    <xdr:to>
      <xdr:col>24</xdr:col>
      <xdr:colOff>9628</xdr:colOff>
      <xdr:row>29</xdr:row>
      <xdr:rowOff>98176</xdr:rowOff>
    </xdr:to>
    <xdr:cxnSp macro="">
      <xdr:nvCxnSpPr>
        <xdr:cNvPr id="41" name="Straight Arrow Connector 40">
          <a:extLst>
            <a:ext uri="{FF2B5EF4-FFF2-40B4-BE49-F238E27FC236}">
              <a16:creationId xmlns:a16="http://schemas.microsoft.com/office/drawing/2014/main" id="{06E98A93-6F5A-4134-9B05-1F24E54C6901}"/>
            </a:ext>
          </a:extLst>
        </xdr:cNvPr>
        <xdr:cNvCxnSpPr/>
      </xdr:nvCxnSpPr>
      <xdr:spPr>
        <a:xfrm>
          <a:off x="5036791" y="3347609"/>
          <a:ext cx="211587" cy="238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4354</xdr:colOff>
      <xdr:row>30</xdr:row>
      <xdr:rowOff>0</xdr:rowOff>
    </xdr:from>
    <xdr:to>
      <xdr:col>31</xdr:col>
      <xdr:colOff>18336</xdr:colOff>
      <xdr:row>30</xdr:row>
      <xdr:rowOff>2382</xdr:rowOff>
    </xdr:to>
    <xdr:cxnSp macro="">
      <xdr:nvCxnSpPr>
        <xdr:cNvPr id="46" name="Straight Arrow Connector 45">
          <a:extLst>
            <a:ext uri="{FF2B5EF4-FFF2-40B4-BE49-F238E27FC236}">
              <a16:creationId xmlns:a16="http://schemas.microsoft.com/office/drawing/2014/main" id="{E743F64E-F2DF-47BB-8D1F-3E896F0C1BE2}"/>
            </a:ext>
          </a:extLst>
        </xdr:cNvPr>
        <xdr:cNvCxnSpPr/>
      </xdr:nvCxnSpPr>
      <xdr:spPr>
        <a:xfrm>
          <a:off x="6313714" y="2799806"/>
          <a:ext cx="205571" cy="238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187234</xdr:colOff>
      <xdr:row>40</xdr:row>
      <xdr:rowOff>8708</xdr:rowOff>
    </xdr:from>
    <xdr:to>
      <xdr:col>52</xdr:col>
      <xdr:colOff>9382</xdr:colOff>
      <xdr:row>40</xdr:row>
      <xdr:rowOff>11796</xdr:rowOff>
    </xdr:to>
    <xdr:grpSp>
      <xdr:nvGrpSpPr>
        <xdr:cNvPr id="13067" name="Group 13066">
          <a:extLst>
            <a:ext uri="{FF2B5EF4-FFF2-40B4-BE49-F238E27FC236}">
              <a16:creationId xmlns:a16="http://schemas.microsoft.com/office/drawing/2014/main" id="{E4D59947-B9EA-AAA3-B62D-957D0CB36A3F}"/>
            </a:ext>
          </a:extLst>
        </xdr:cNvPr>
        <xdr:cNvGrpSpPr/>
      </xdr:nvGrpSpPr>
      <xdr:grpSpPr>
        <a:xfrm>
          <a:off x="10055134" y="4323533"/>
          <a:ext cx="393648" cy="3088"/>
          <a:chOff x="12823371" y="1802674"/>
          <a:chExt cx="396914" cy="3088"/>
        </a:xfrm>
      </xdr:grpSpPr>
      <xdr:cxnSp macro="">
        <xdr:nvCxnSpPr>
          <xdr:cNvPr id="101" name="Straight Arrow Connector 100">
            <a:extLst>
              <a:ext uri="{FF2B5EF4-FFF2-40B4-BE49-F238E27FC236}">
                <a16:creationId xmlns:a16="http://schemas.microsoft.com/office/drawing/2014/main" id="{1D1A5AEE-388E-42CC-A6D7-DFE0EF45D9E2}"/>
              </a:ext>
            </a:extLst>
          </xdr:cNvPr>
          <xdr:cNvCxnSpPr/>
        </xdr:nvCxnSpPr>
        <xdr:spPr>
          <a:xfrm>
            <a:off x="13102046" y="1802674"/>
            <a:ext cx="118239" cy="308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3062" name="Straight Connector 107">
            <a:extLst>
              <a:ext uri="{FF2B5EF4-FFF2-40B4-BE49-F238E27FC236}">
                <a16:creationId xmlns:a16="http://schemas.microsoft.com/office/drawing/2014/main" id="{CFF7F0EA-604C-4B6F-A529-3AECCE46CCA6}"/>
              </a:ext>
            </a:extLst>
          </xdr:cNvPr>
          <xdr:cNvCxnSpPr>
            <a:cxnSpLocks noChangeShapeType="1"/>
          </xdr:cNvCxnSpPr>
        </xdr:nvCxnSpPr>
        <xdr:spPr bwMode="auto">
          <a:xfrm>
            <a:off x="12823371" y="1802674"/>
            <a:ext cx="291738" cy="0"/>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clientData/>
  </xdr:twoCellAnchor>
  <xdr:twoCellAnchor>
    <xdr:from>
      <xdr:col>56</xdr:col>
      <xdr:colOff>191588</xdr:colOff>
      <xdr:row>40</xdr:row>
      <xdr:rowOff>0</xdr:rowOff>
    </xdr:from>
    <xdr:to>
      <xdr:col>59</xdr:col>
      <xdr:colOff>13736</xdr:colOff>
      <xdr:row>40</xdr:row>
      <xdr:rowOff>3088</xdr:rowOff>
    </xdr:to>
    <xdr:grpSp>
      <xdr:nvGrpSpPr>
        <xdr:cNvPr id="13068" name="Group 13067">
          <a:extLst>
            <a:ext uri="{FF2B5EF4-FFF2-40B4-BE49-F238E27FC236}">
              <a16:creationId xmlns:a16="http://schemas.microsoft.com/office/drawing/2014/main" id="{8BEE0AB1-8DB1-4771-A3E6-4195237C2FEB}"/>
            </a:ext>
          </a:extLst>
        </xdr:cNvPr>
        <xdr:cNvGrpSpPr/>
      </xdr:nvGrpSpPr>
      <xdr:grpSpPr>
        <a:xfrm>
          <a:off x="11392988" y="4314825"/>
          <a:ext cx="393648" cy="3088"/>
          <a:chOff x="12823371" y="1802674"/>
          <a:chExt cx="396914" cy="3088"/>
        </a:xfrm>
      </xdr:grpSpPr>
      <xdr:cxnSp macro="">
        <xdr:nvCxnSpPr>
          <xdr:cNvPr id="13069" name="Straight Arrow Connector 13068">
            <a:extLst>
              <a:ext uri="{FF2B5EF4-FFF2-40B4-BE49-F238E27FC236}">
                <a16:creationId xmlns:a16="http://schemas.microsoft.com/office/drawing/2014/main" id="{81D140F5-8E0F-A8C3-949D-A82B2818B9B4}"/>
              </a:ext>
            </a:extLst>
          </xdr:cNvPr>
          <xdr:cNvCxnSpPr/>
        </xdr:nvCxnSpPr>
        <xdr:spPr>
          <a:xfrm>
            <a:off x="13102046" y="1802674"/>
            <a:ext cx="118239" cy="308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3070" name="Straight Connector 107">
            <a:extLst>
              <a:ext uri="{FF2B5EF4-FFF2-40B4-BE49-F238E27FC236}">
                <a16:creationId xmlns:a16="http://schemas.microsoft.com/office/drawing/2014/main" id="{BC49BC06-5D82-1737-5AFA-157D0DCA1E27}"/>
              </a:ext>
            </a:extLst>
          </xdr:cNvPr>
          <xdr:cNvCxnSpPr>
            <a:cxnSpLocks noChangeShapeType="1"/>
          </xdr:cNvCxnSpPr>
        </xdr:nvCxnSpPr>
        <xdr:spPr bwMode="auto">
          <a:xfrm>
            <a:off x="12823371" y="1802674"/>
            <a:ext cx="291738" cy="0"/>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clientData/>
  </xdr:twoCellAnchor>
  <xdr:twoCellAnchor>
    <xdr:from>
      <xdr:col>50</xdr:col>
      <xdr:colOff>189476</xdr:colOff>
      <xdr:row>20</xdr:row>
      <xdr:rowOff>13063</xdr:rowOff>
    </xdr:from>
    <xdr:to>
      <xdr:col>51</xdr:col>
      <xdr:colOff>1089</xdr:colOff>
      <xdr:row>24</xdr:row>
      <xdr:rowOff>25605</xdr:rowOff>
    </xdr:to>
    <xdr:cxnSp macro="">
      <xdr:nvCxnSpPr>
        <xdr:cNvPr id="13078" name="Straight Connector 95">
          <a:extLst>
            <a:ext uri="{FF2B5EF4-FFF2-40B4-BE49-F238E27FC236}">
              <a16:creationId xmlns:a16="http://schemas.microsoft.com/office/drawing/2014/main" id="{845DEDAD-F4D2-4D5F-B4BD-2895B13926FE}"/>
            </a:ext>
          </a:extLst>
        </xdr:cNvPr>
        <xdr:cNvCxnSpPr>
          <a:cxnSpLocks noChangeShapeType="1"/>
        </xdr:cNvCxnSpPr>
      </xdr:nvCxnSpPr>
      <xdr:spPr bwMode="auto">
        <a:xfrm flipV="1">
          <a:off x="10487742" y="2343103"/>
          <a:ext cx="6210" cy="42222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36</xdr:col>
      <xdr:colOff>146130</xdr:colOff>
      <xdr:row>30</xdr:row>
      <xdr:rowOff>146130</xdr:rowOff>
    </xdr:from>
    <xdr:to>
      <xdr:col>38</xdr:col>
      <xdr:colOff>3476</xdr:colOff>
      <xdr:row>30</xdr:row>
      <xdr:rowOff>146214</xdr:rowOff>
    </xdr:to>
    <xdr:cxnSp macro="">
      <xdr:nvCxnSpPr>
        <xdr:cNvPr id="10" name="Straight Arrow Connector 9">
          <a:extLst>
            <a:ext uri="{FF2B5EF4-FFF2-40B4-BE49-F238E27FC236}">
              <a16:creationId xmlns:a16="http://schemas.microsoft.com/office/drawing/2014/main" id="{1380F410-2D31-4413-BF33-AE877CC500F0}"/>
            </a:ext>
          </a:extLst>
        </xdr:cNvPr>
        <xdr:cNvCxnSpPr/>
      </xdr:nvCxnSpPr>
      <xdr:spPr>
        <a:xfrm>
          <a:off x="7790042" y="3464603"/>
          <a:ext cx="250568" cy="8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122788</xdr:colOff>
      <xdr:row>27</xdr:row>
      <xdr:rowOff>45263</xdr:rowOff>
    </xdr:from>
    <xdr:to>
      <xdr:col>36</xdr:col>
      <xdr:colOff>123942</xdr:colOff>
      <xdr:row>30</xdr:row>
      <xdr:rowOff>130950</xdr:rowOff>
    </xdr:to>
    <xdr:cxnSp macro="">
      <xdr:nvCxnSpPr>
        <xdr:cNvPr id="28" name="Straight Connector 27">
          <a:extLst>
            <a:ext uri="{FF2B5EF4-FFF2-40B4-BE49-F238E27FC236}">
              <a16:creationId xmlns:a16="http://schemas.microsoft.com/office/drawing/2014/main" id="{9396C97E-A73C-4B93-9D42-E37E22E68EF9}"/>
            </a:ext>
          </a:extLst>
        </xdr:cNvPr>
        <xdr:cNvCxnSpPr/>
      </xdr:nvCxnSpPr>
      <xdr:spPr bwMode="auto">
        <a:xfrm flipV="1">
          <a:off x="7766700" y="3060849"/>
          <a:ext cx="1154" cy="388574"/>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44</xdr:col>
      <xdr:colOff>50589</xdr:colOff>
      <xdr:row>22</xdr:row>
      <xdr:rowOff>60368</xdr:rowOff>
    </xdr:from>
    <xdr:to>
      <xdr:col>51</xdr:col>
      <xdr:colOff>17307</xdr:colOff>
      <xdr:row>22</xdr:row>
      <xdr:rowOff>62933</xdr:rowOff>
    </xdr:to>
    <xdr:cxnSp macro="">
      <xdr:nvCxnSpPr>
        <xdr:cNvPr id="31" name="Straight Connector 99">
          <a:extLst>
            <a:ext uri="{FF2B5EF4-FFF2-40B4-BE49-F238E27FC236}">
              <a16:creationId xmlns:a16="http://schemas.microsoft.com/office/drawing/2014/main" id="{03ABB9D3-B915-442D-A5FF-3B1614089975}"/>
            </a:ext>
          </a:extLst>
        </xdr:cNvPr>
        <xdr:cNvCxnSpPr>
          <a:cxnSpLocks noChangeShapeType="1"/>
          <a:stCxn id="13058" idx="6"/>
        </xdr:cNvCxnSpPr>
      </xdr:nvCxnSpPr>
      <xdr:spPr bwMode="auto">
        <a:xfrm flipH="1" flipV="1">
          <a:off x="9228554" y="2604060"/>
          <a:ext cx="1336398" cy="256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153490</xdr:colOff>
      <xdr:row>19</xdr:row>
      <xdr:rowOff>96983</xdr:rowOff>
    </xdr:from>
    <xdr:to>
      <xdr:col>57</xdr:col>
      <xdr:colOff>155637</xdr:colOff>
      <xdr:row>25</xdr:row>
      <xdr:rowOff>12451</xdr:rowOff>
    </xdr:to>
    <xdr:cxnSp macro="">
      <xdr:nvCxnSpPr>
        <xdr:cNvPr id="50" name="Straight Connector 95">
          <a:extLst>
            <a:ext uri="{FF2B5EF4-FFF2-40B4-BE49-F238E27FC236}">
              <a16:creationId xmlns:a16="http://schemas.microsoft.com/office/drawing/2014/main" id="{93405C28-31F1-4343-B1A6-453FB5AA4544}"/>
            </a:ext>
          </a:extLst>
        </xdr:cNvPr>
        <xdr:cNvCxnSpPr>
          <a:cxnSpLocks noChangeShapeType="1"/>
        </xdr:cNvCxnSpPr>
      </xdr:nvCxnSpPr>
      <xdr:spPr bwMode="auto">
        <a:xfrm flipH="1" flipV="1">
          <a:off x="12069078" y="2282130"/>
          <a:ext cx="2147" cy="51311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0</xdr:colOff>
      <xdr:row>25</xdr:row>
      <xdr:rowOff>5042</xdr:rowOff>
    </xdr:from>
    <xdr:to>
      <xdr:col>57</xdr:col>
      <xdr:colOff>158750</xdr:colOff>
      <xdr:row>25</xdr:row>
      <xdr:rowOff>5121</xdr:rowOff>
    </xdr:to>
    <xdr:cxnSp macro="">
      <xdr:nvCxnSpPr>
        <xdr:cNvPr id="57" name="Straight Connector 99">
          <a:extLst>
            <a:ext uri="{FF2B5EF4-FFF2-40B4-BE49-F238E27FC236}">
              <a16:creationId xmlns:a16="http://schemas.microsoft.com/office/drawing/2014/main" id="{22E6B77F-AD69-4AD7-83CD-222DFE376539}"/>
            </a:ext>
          </a:extLst>
        </xdr:cNvPr>
        <xdr:cNvCxnSpPr>
          <a:cxnSpLocks noChangeShapeType="1"/>
        </xdr:cNvCxnSpPr>
      </xdr:nvCxnSpPr>
      <xdr:spPr bwMode="auto">
        <a:xfrm flipH="1" flipV="1">
          <a:off x="11660444" y="2847179"/>
          <a:ext cx="158750" cy="79"/>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50</xdr:col>
      <xdr:colOff>168993</xdr:colOff>
      <xdr:row>22</xdr:row>
      <xdr:rowOff>40969</xdr:rowOff>
    </xdr:from>
    <xdr:to>
      <xdr:col>51</xdr:col>
      <xdr:colOff>17307</xdr:colOff>
      <xdr:row>22</xdr:row>
      <xdr:rowOff>84896</xdr:rowOff>
    </xdr:to>
    <xdr:sp macro="" textlink="">
      <xdr:nvSpPr>
        <xdr:cNvPr id="13058" name="Oval 13057">
          <a:extLst>
            <a:ext uri="{FF2B5EF4-FFF2-40B4-BE49-F238E27FC236}">
              <a16:creationId xmlns:a16="http://schemas.microsoft.com/office/drawing/2014/main" id="{41AD981F-1CC5-4FB3-84E3-D091B8D2A64D}"/>
            </a:ext>
          </a:extLst>
        </xdr:cNvPr>
        <xdr:cNvSpPr/>
      </xdr:nvSpPr>
      <xdr:spPr>
        <a:xfrm>
          <a:off x="10467259" y="2575848"/>
          <a:ext cx="42911" cy="43927"/>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71</xdr:col>
      <xdr:colOff>0</xdr:colOff>
      <xdr:row>10</xdr:row>
      <xdr:rowOff>0</xdr:rowOff>
    </xdr:from>
    <xdr:to>
      <xdr:col>72</xdr:col>
      <xdr:colOff>181063</xdr:colOff>
      <xdr:row>10</xdr:row>
      <xdr:rowOff>0</xdr:rowOff>
    </xdr:to>
    <xdr:cxnSp macro="">
      <xdr:nvCxnSpPr>
        <xdr:cNvPr id="25" name="Straight Arrow Connector 24">
          <a:extLst>
            <a:ext uri="{FF2B5EF4-FFF2-40B4-BE49-F238E27FC236}">
              <a16:creationId xmlns:a16="http://schemas.microsoft.com/office/drawing/2014/main" id="{E3F01FCD-7D52-4613-934E-F49630FA7D93}"/>
            </a:ext>
          </a:extLst>
        </xdr:cNvPr>
        <xdr:cNvCxnSpPr/>
      </xdr:nvCxnSpPr>
      <xdr:spPr>
        <a:xfrm>
          <a:off x="14384798" y="1305847"/>
          <a:ext cx="39614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91115</xdr:colOff>
      <xdr:row>12</xdr:row>
      <xdr:rowOff>60325</xdr:rowOff>
    </xdr:from>
    <xdr:to>
      <xdr:col>29</xdr:col>
      <xdr:colOff>91115</xdr:colOff>
      <xdr:row>15</xdr:row>
      <xdr:rowOff>31750</xdr:rowOff>
    </xdr:to>
    <xdr:cxnSp macro="">
      <xdr:nvCxnSpPr>
        <xdr:cNvPr id="13064" name="Straight Connector 84">
          <a:extLst>
            <a:ext uri="{FF2B5EF4-FFF2-40B4-BE49-F238E27FC236}">
              <a16:creationId xmlns:a16="http://schemas.microsoft.com/office/drawing/2014/main" id="{92BBD5EF-A720-4021-95F3-457A988E765D}"/>
            </a:ext>
          </a:extLst>
        </xdr:cNvPr>
        <xdr:cNvCxnSpPr>
          <a:cxnSpLocks noChangeShapeType="1"/>
        </xdr:cNvCxnSpPr>
      </xdr:nvCxnSpPr>
      <xdr:spPr bwMode="auto">
        <a:xfrm flipH="1" flipV="1">
          <a:off x="6334051" y="1570296"/>
          <a:ext cx="0" cy="281541"/>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61573</xdr:colOff>
      <xdr:row>14</xdr:row>
      <xdr:rowOff>76978</xdr:rowOff>
    </xdr:from>
    <xdr:to>
      <xdr:col>29</xdr:col>
      <xdr:colOff>106698</xdr:colOff>
      <xdr:row>15</xdr:row>
      <xdr:rowOff>18485</xdr:rowOff>
    </xdr:to>
    <xdr:sp macro="" textlink="">
      <xdr:nvSpPr>
        <xdr:cNvPr id="13065" name="Oval 13064">
          <a:extLst>
            <a:ext uri="{FF2B5EF4-FFF2-40B4-BE49-F238E27FC236}">
              <a16:creationId xmlns:a16="http://schemas.microsoft.com/office/drawing/2014/main" id="{E0895DCC-6CFD-48B6-951F-F6BF31F633AA}"/>
            </a:ext>
          </a:extLst>
        </xdr:cNvPr>
        <xdr:cNvSpPr/>
      </xdr:nvSpPr>
      <xdr:spPr>
        <a:xfrm>
          <a:off x="6304509" y="1793693"/>
          <a:ext cx="45125" cy="4487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twoCellAnchor>
    <xdr:from>
      <xdr:col>36</xdr:col>
      <xdr:colOff>29535</xdr:colOff>
      <xdr:row>15</xdr:row>
      <xdr:rowOff>0</xdr:rowOff>
    </xdr:from>
    <xdr:to>
      <xdr:col>36</xdr:col>
      <xdr:colOff>36919</xdr:colOff>
      <xdr:row>25</xdr:row>
      <xdr:rowOff>7384</xdr:rowOff>
    </xdr:to>
    <xdr:cxnSp macro="">
      <xdr:nvCxnSpPr>
        <xdr:cNvPr id="13072" name="Straight Connector 79">
          <a:extLst>
            <a:ext uri="{FF2B5EF4-FFF2-40B4-BE49-F238E27FC236}">
              <a16:creationId xmlns:a16="http://schemas.microsoft.com/office/drawing/2014/main" id="{7022A48C-D580-4953-A807-79DC61CF2CDD}"/>
            </a:ext>
          </a:extLst>
        </xdr:cNvPr>
        <xdr:cNvCxnSpPr>
          <a:cxnSpLocks noChangeShapeType="1"/>
        </xdr:cNvCxnSpPr>
      </xdr:nvCxnSpPr>
      <xdr:spPr bwMode="auto">
        <a:xfrm flipH="1">
          <a:off x="7642151" y="1820087"/>
          <a:ext cx="7384" cy="104110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35</xdr:col>
      <xdr:colOff>195530</xdr:colOff>
      <xdr:row>15</xdr:row>
      <xdr:rowOff>3692</xdr:rowOff>
    </xdr:from>
    <xdr:to>
      <xdr:col>36</xdr:col>
      <xdr:colOff>36919</xdr:colOff>
      <xdr:row>15</xdr:row>
      <xdr:rowOff>4487</xdr:rowOff>
    </xdr:to>
    <xdr:cxnSp macro="">
      <xdr:nvCxnSpPr>
        <xdr:cNvPr id="13074" name="Straight Connector 106">
          <a:extLst>
            <a:ext uri="{FF2B5EF4-FFF2-40B4-BE49-F238E27FC236}">
              <a16:creationId xmlns:a16="http://schemas.microsoft.com/office/drawing/2014/main" id="{0553D4F1-3312-4360-9512-B83CC243FE64}"/>
            </a:ext>
          </a:extLst>
        </xdr:cNvPr>
        <xdr:cNvCxnSpPr>
          <a:cxnSpLocks noChangeShapeType="1"/>
        </xdr:cNvCxnSpPr>
      </xdr:nvCxnSpPr>
      <xdr:spPr bwMode="auto">
        <a:xfrm flipV="1">
          <a:off x="7612478" y="1823779"/>
          <a:ext cx="37057" cy="79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44302</xdr:colOff>
      <xdr:row>19</xdr:row>
      <xdr:rowOff>98451</xdr:rowOff>
    </xdr:from>
    <xdr:to>
      <xdr:col>44</xdr:col>
      <xdr:colOff>50749</xdr:colOff>
      <xdr:row>25</xdr:row>
      <xdr:rowOff>51686</xdr:rowOff>
    </xdr:to>
    <xdr:cxnSp macro="">
      <xdr:nvCxnSpPr>
        <xdr:cNvPr id="13084" name="Straight Connector 95">
          <a:extLst>
            <a:ext uri="{FF2B5EF4-FFF2-40B4-BE49-F238E27FC236}">
              <a16:creationId xmlns:a16="http://schemas.microsoft.com/office/drawing/2014/main" id="{9C0CC5BB-73D0-4745-9D28-75ECB2540BA7}"/>
            </a:ext>
          </a:extLst>
        </xdr:cNvPr>
        <xdr:cNvCxnSpPr>
          <a:cxnSpLocks noChangeShapeType="1"/>
        </xdr:cNvCxnSpPr>
      </xdr:nvCxnSpPr>
      <xdr:spPr bwMode="auto">
        <a:xfrm flipV="1">
          <a:off x="9222267" y="2332027"/>
          <a:ext cx="6447" cy="573467"/>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43</xdr:col>
      <xdr:colOff>1332</xdr:colOff>
      <xdr:row>25</xdr:row>
      <xdr:rowOff>44302</xdr:rowOff>
    </xdr:from>
    <xdr:to>
      <xdr:col>44</xdr:col>
      <xdr:colOff>44302</xdr:colOff>
      <xdr:row>25</xdr:row>
      <xdr:rowOff>52044</xdr:rowOff>
    </xdr:to>
    <xdr:cxnSp macro="">
      <xdr:nvCxnSpPr>
        <xdr:cNvPr id="13086" name="Straight Connector 107">
          <a:extLst>
            <a:ext uri="{FF2B5EF4-FFF2-40B4-BE49-F238E27FC236}">
              <a16:creationId xmlns:a16="http://schemas.microsoft.com/office/drawing/2014/main" id="{91A4F5A7-DD80-4591-B2CB-CFA709041C48}"/>
            </a:ext>
          </a:extLst>
        </xdr:cNvPr>
        <xdr:cNvCxnSpPr>
          <a:cxnSpLocks noChangeShapeType="1"/>
        </xdr:cNvCxnSpPr>
      </xdr:nvCxnSpPr>
      <xdr:spPr bwMode="auto">
        <a:xfrm flipV="1">
          <a:off x="8983629" y="2898110"/>
          <a:ext cx="238638" cy="7742"/>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37753</xdr:colOff>
      <xdr:row>22</xdr:row>
      <xdr:rowOff>32156</xdr:rowOff>
    </xdr:from>
    <xdr:to>
      <xdr:col>44</xdr:col>
      <xdr:colOff>81735</xdr:colOff>
      <xdr:row>22</xdr:row>
      <xdr:rowOff>76083</xdr:rowOff>
    </xdr:to>
    <xdr:sp macro="" textlink="">
      <xdr:nvSpPr>
        <xdr:cNvPr id="13089" name="Oval 13088">
          <a:extLst>
            <a:ext uri="{FF2B5EF4-FFF2-40B4-BE49-F238E27FC236}">
              <a16:creationId xmlns:a16="http://schemas.microsoft.com/office/drawing/2014/main" id="{17D7A8C8-D8D0-4959-A974-2B4BD1F3988A}"/>
            </a:ext>
          </a:extLst>
        </xdr:cNvPr>
        <xdr:cNvSpPr/>
      </xdr:nvSpPr>
      <xdr:spPr>
        <a:xfrm>
          <a:off x="9215718" y="2575848"/>
          <a:ext cx="43982" cy="43927"/>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en-PH"/>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76199</xdr:colOff>
      <xdr:row>3</xdr:row>
      <xdr:rowOff>142874</xdr:rowOff>
    </xdr:from>
    <xdr:to>
      <xdr:col>6</xdr:col>
      <xdr:colOff>148724</xdr:colOff>
      <xdr:row>16</xdr:row>
      <xdr:rowOff>129449</xdr:rowOff>
    </xdr:to>
    <xdr:grpSp>
      <xdr:nvGrpSpPr>
        <xdr:cNvPr id="3" name="Group 6">
          <a:extLst>
            <a:ext uri="{FF2B5EF4-FFF2-40B4-BE49-F238E27FC236}">
              <a16:creationId xmlns:a16="http://schemas.microsoft.com/office/drawing/2014/main" id="{5EE95B83-ABE3-41D1-99AA-9F22DC2E96FA}"/>
            </a:ext>
          </a:extLst>
        </xdr:cNvPr>
        <xdr:cNvGrpSpPr>
          <a:grpSpLocks/>
        </xdr:cNvGrpSpPr>
      </xdr:nvGrpSpPr>
      <xdr:grpSpPr bwMode="auto">
        <a:xfrm>
          <a:off x="2066924" y="600074"/>
          <a:ext cx="2129925" cy="1967775"/>
          <a:chOff x="609600" y="533400"/>
          <a:chExt cx="2590800" cy="2590800"/>
        </a:xfrm>
      </xdr:grpSpPr>
      <xdr:sp macro="" textlink="">
        <xdr:nvSpPr>
          <xdr:cNvPr id="4" name="Oval 3">
            <a:extLst>
              <a:ext uri="{FF2B5EF4-FFF2-40B4-BE49-F238E27FC236}">
                <a16:creationId xmlns:a16="http://schemas.microsoft.com/office/drawing/2014/main" id="{AB0DA137-7267-4559-9890-CF087F5C8188}"/>
              </a:ext>
            </a:extLst>
          </xdr:cNvPr>
          <xdr:cNvSpPr/>
        </xdr:nvSpPr>
        <xdr:spPr>
          <a:xfrm>
            <a:off x="942363" y="872383"/>
            <a:ext cx="1925273" cy="191283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fontAlgn="auto">
              <a:spcBef>
                <a:spcPts val="0"/>
              </a:spcBef>
              <a:spcAft>
                <a:spcPts val="0"/>
              </a:spcAft>
              <a:defRPr/>
            </a:pPr>
            <a:endParaRPr lang="en-US"/>
          </a:p>
        </xdr:txBody>
      </xdr:sp>
      <xdr:pic>
        <xdr:nvPicPr>
          <xdr:cNvPr id="5" name="Picture 8">
            <a:extLst>
              <a:ext uri="{FF2B5EF4-FFF2-40B4-BE49-F238E27FC236}">
                <a16:creationId xmlns:a16="http://schemas.microsoft.com/office/drawing/2014/main" id="{823520B9-3CCA-433E-87F4-8A3FD17500A5}"/>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9600" y="533400"/>
            <a:ext cx="259080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xdr:col>
      <xdr:colOff>76199</xdr:colOff>
      <xdr:row>3</xdr:row>
      <xdr:rowOff>142874</xdr:rowOff>
    </xdr:from>
    <xdr:to>
      <xdr:col>6</xdr:col>
      <xdr:colOff>148724</xdr:colOff>
      <xdr:row>16</xdr:row>
      <xdr:rowOff>129449</xdr:rowOff>
    </xdr:to>
    <xdr:grpSp>
      <xdr:nvGrpSpPr>
        <xdr:cNvPr id="2" name="Group 6">
          <a:extLst>
            <a:ext uri="{FF2B5EF4-FFF2-40B4-BE49-F238E27FC236}">
              <a16:creationId xmlns:a16="http://schemas.microsoft.com/office/drawing/2014/main" id="{52A39648-0B93-41F1-84D2-3A9A7DCB164F}"/>
            </a:ext>
          </a:extLst>
        </xdr:cNvPr>
        <xdr:cNvGrpSpPr>
          <a:grpSpLocks/>
        </xdr:cNvGrpSpPr>
      </xdr:nvGrpSpPr>
      <xdr:grpSpPr bwMode="auto">
        <a:xfrm>
          <a:off x="2066924" y="600074"/>
          <a:ext cx="2129925" cy="1967775"/>
          <a:chOff x="609600" y="533400"/>
          <a:chExt cx="2590800" cy="2590800"/>
        </a:xfrm>
      </xdr:grpSpPr>
      <xdr:sp macro="" textlink="">
        <xdr:nvSpPr>
          <xdr:cNvPr id="6" name="Oval 5">
            <a:extLst>
              <a:ext uri="{FF2B5EF4-FFF2-40B4-BE49-F238E27FC236}">
                <a16:creationId xmlns:a16="http://schemas.microsoft.com/office/drawing/2014/main" id="{4CE40341-F695-F327-842D-C87CACE3E891}"/>
              </a:ext>
            </a:extLst>
          </xdr:cNvPr>
          <xdr:cNvSpPr/>
        </xdr:nvSpPr>
        <xdr:spPr>
          <a:xfrm>
            <a:off x="942363" y="872383"/>
            <a:ext cx="1925273" cy="191283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fontAlgn="auto">
              <a:spcBef>
                <a:spcPts val="0"/>
              </a:spcBef>
              <a:spcAft>
                <a:spcPts val="0"/>
              </a:spcAft>
              <a:defRPr/>
            </a:pPr>
            <a:endParaRPr lang="en-US"/>
          </a:p>
        </xdr:txBody>
      </xdr:sp>
      <xdr:pic>
        <xdr:nvPicPr>
          <xdr:cNvPr id="7" name="Picture 8">
            <a:extLst>
              <a:ext uri="{FF2B5EF4-FFF2-40B4-BE49-F238E27FC236}">
                <a16:creationId xmlns:a16="http://schemas.microsoft.com/office/drawing/2014/main" id="{C32588AD-D6D9-61BA-9DEA-11C1E669F7C2}"/>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9600" y="533400"/>
            <a:ext cx="259080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1866900</xdr:colOff>
      <xdr:row>0</xdr:row>
      <xdr:rowOff>0</xdr:rowOff>
    </xdr:from>
    <xdr:to>
      <xdr:col>2</xdr:col>
      <xdr:colOff>19050</xdr:colOff>
      <xdr:row>6</xdr:row>
      <xdr:rowOff>47625</xdr:rowOff>
    </xdr:to>
    <xdr:grpSp>
      <xdr:nvGrpSpPr>
        <xdr:cNvPr id="14432" name="Group 6">
          <a:extLst>
            <a:ext uri="{FF2B5EF4-FFF2-40B4-BE49-F238E27FC236}">
              <a16:creationId xmlns:a16="http://schemas.microsoft.com/office/drawing/2014/main" id="{198ADB1C-34A4-4711-8C80-BBD6561259E6}"/>
            </a:ext>
          </a:extLst>
        </xdr:cNvPr>
        <xdr:cNvGrpSpPr>
          <a:grpSpLocks/>
        </xdr:cNvGrpSpPr>
      </xdr:nvGrpSpPr>
      <xdr:grpSpPr bwMode="auto">
        <a:xfrm>
          <a:off x="3209925" y="0"/>
          <a:ext cx="1028700" cy="962025"/>
          <a:chOff x="609600" y="533400"/>
          <a:chExt cx="2590800" cy="2590800"/>
        </a:xfrm>
      </xdr:grpSpPr>
      <xdr:sp macro="" textlink="">
        <xdr:nvSpPr>
          <xdr:cNvPr id="4" name="Oval 3">
            <a:extLst>
              <a:ext uri="{FF2B5EF4-FFF2-40B4-BE49-F238E27FC236}">
                <a16:creationId xmlns:a16="http://schemas.microsoft.com/office/drawing/2014/main" id="{B659FCA5-301A-47B7-B46C-85A6FD15CB39}"/>
              </a:ext>
            </a:extLst>
          </xdr:cNvPr>
          <xdr:cNvSpPr/>
        </xdr:nvSpPr>
        <xdr:spPr>
          <a:xfrm>
            <a:off x="942363" y="872383"/>
            <a:ext cx="1925273" cy="191283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fontAlgn="auto">
              <a:spcBef>
                <a:spcPts val="0"/>
              </a:spcBef>
              <a:spcAft>
                <a:spcPts val="0"/>
              </a:spcAft>
              <a:defRPr/>
            </a:pPr>
            <a:endParaRPr lang="en-US"/>
          </a:p>
        </xdr:txBody>
      </xdr:sp>
      <xdr:pic>
        <xdr:nvPicPr>
          <xdr:cNvPr id="14434" name="Picture 8">
            <a:extLst>
              <a:ext uri="{FF2B5EF4-FFF2-40B4-BE49-F238E27FC236}">
                <a16:creationId xmlns:a16="http://schemas.microsoft.com/office/drawing/2014/main" id="{D7561110-5CE4-4B68-8DCC-C26696FB77DD}"/>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9600" y="533400"/>
            <a:ext cx="259080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2486025</xdr:colOff>
      <xdr:row>0</xdr:row>
      <xdr:rowOff>104775</xdr:rowOff>
    </xdr:from>
    <xdr:to>
      <xdr:col>4</xdr:col>
      <xdr:colOff>3525754</xdr:colOff>
      <xdr:row>6</xdr:row>
      <xdr:rowOff>143376</xdr:rowOff>
    </xdr:to>
    <xdr:grpSp>
      <xdr:nvGrpSpPr>
        <xdr:cNvPr id="3" name="Group 6">
          <a:extLst>
            <a:ext uri="{FF2B5EF4-FFF2-40B4-BE49-F238E27FC236}">
              <a16:creationId xmlns:a16="http://schemas.microsoft.com/office/drawing/2014/main" id="{4A6A6514-205F-4FE1-9710-F28273950C9F}"/>
            </a:ext>
          </a:extLst>
        </xdr:cNvPr>
        <xdr:cNvGrpSpPr>
          <a:grpSpLocks/>
        </xdr:cNvGrpSpPr>
      </xdr:nvGrpSpPr>
      <xdr:grpSpPr bwMode="auto">
        <a:xfrm>
          <a:off x="8382000" y="104775"/>
          <a:ext cx="1039729" cy="953001"/>
          <a:chOff x="609600" y="533400"/>
          <a:chExt cx="2590800" cy="2590800"/>
        </a:xfrm>
      </xdr:grpSpPr>
      <xdr:sp macro="" textlink="">
        <xdr:nvSpPr>
          <xdr:cNvPr id="4" name="Oval 3">
            <a:extLst>
              <a:ext uri="{FF2B5EF4-FFF2-40B4-BE49-F238E27FC236}">
                <a16:creationId xmlns:a16="http://schemas.microsoft.com/office/drawing/2014/main" id="{B8DEE242-6802-42CC-A92B-3FCCA6ACAEB8}"/>
              </a:ext>
            </a:extLst>
          </xdr:cNvPr>
          <xdr:cNvSpPr/>
        </xdr:nvSpPr>
        <xdr:spPr>
          <a:xfrm>
            <a:off x="942363" y="872383"/>
            <a:ext cx="1925273" cy="191283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n-US"/>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fontAlgn="auto">
              <a:spcBef>
                <a:spcPts val="0"/>
              </a:spcBef>
              <a:spcAft>
                <a:spcPts val="0"/>
              </a:spcAft>
              <a:defRPr/>
            </a:pPr>
            <a:endParaRPr lang="en-US"/>
          </a:p>
        </xdr:txBody>
      </xdr:sp>
      <xdr:pic>
        <xdr:nvPicPr>
          <xdr:cNvPr id="5" name="Picture 8">
            <a:extLst>
              <a:ext uri="{FF2B5EF4-FFF2-40B4-BE49-F238E27FC236}">
                <a16:creationId xmlns:a16="http://schemas.microsoft.com/office/drawing/2014/main" id="{4A6674F3-1A64-4425-8A01-7081ECDF9E32}"/>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9600" y="533400"/>
            <a:ext cx="259080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400050</xdr:colOff>
      <xdr:row>0</xdr:row>
      <xdr:rowOff>38100</xdr:rowOff>
    </xdr:from>
    <xdr:to>
      <xdr:col>4</xdr:col>
      <xdr:colOff>485775</xdr:colOff>
      <xdr:row>4</xdr:row>
      <xdr:rowOff>152400</xdr:rowOff>
    </xdr:to>
    <xdr:pic>
      <xdr:nvPicPr>
        <xdr:cNvPr id="5305" name="Picture 1" descr="APC Logo Final-mod">
          <a:extLst>
            <a:ext uri="{FF2B5EF4-FFF2-40B4-BE49-F238E27FC236}">
              <a16:creationId xmlns:a16="http://schemas.microsoft.com/office/drawing/2014/main" id="{B3789489-96D5-46F0-84BF-E1548A6762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4950" y="38100"/>
          <a:ext cx="10382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D66"/>
  <sheetViews>
    <sheetView tabSelected="1" view="pageBreakPreview" topLeftCell="A46" zoomScale="177" zoomScaleNormal="91" zoomScaleSheetLayoutView="144" workbookViewId="0">
      <selection activeCell="AK45" sqref="AK45"/>
    </sheetView>
  </sheetViews>
  <sheetFormatPr defaultColWidth="9.140625" defaultRowHeight="9.9499999999999993"/>
  <cols>
    <col min="1" max="1" width="3.5703125" style="119" customWidth="1"/>
    <col min="2" max="2" width="9.5703125" style="119" customWidth="1"/>
    <col min="3" max="3" width="3.42578125" style="119" customWidth="1"/>
    <col min="4" max="71" width="2.85546875" style="119" customWidth="1"/>
    <col min="72" max="72" width="3.140625" style="119" customWidth="1"/>
    <col min="73" max="85" width="2.85546875" style="119" customWidth="1"/>
    <col min="86" max="88" width="1.5703125" style="119" customWidth="1"/>
    <col min="89" max="89" width="3.42578125" style="119" customWidth="1"/>
    <col min="90" max="97" width="1.5703125" style="119" customWidth="1"/>
    <col min="98" max="98" width="4" style="119" customWidth="1"/>
    <col min="99" max="99" width="4.42578125" style="119" bestFit="1" customWidth="1"/>
    <col min="100" max="100" width="3.85546875" style="119" bestFit="1" customWidth="1"/>
    <col min="101" max="104" width="1.5703125" style="119" customWidth="1"/>
    <col min="105" max="105" width="4" style="119" customWidth="1"/>
    <col min="106" max="106" width="2.42578125" style="119" bestFit="1" customWidth="1"/>
    <col min="107" max="109" width="1.5703125" style="119" customWidth="1"/>
    <col min="110" max="124" width="1.85546875" style="119" customWidth="1"/>
    <col min="125" max="125" width="2.42578125" style="119" bestFit="1" customWidth="1"/>
    <col min="126" max="139" width="1.85546875" style="119" customWidth="1"/>
    <col min="140" max="16384" width="9.140625" style="119"/>
  </cols>
  <sheetData>
    <row r="1" spans="3:106" s="83" customFormat="1" ht="14.1">
      <c r="C1" s="401" t="s">
        <v>0</v>
      </c>
      <c r="D1" s="401"/>
      <c r="E1" s="401"/>
      <c r="F1" s="401"/>
      <c r="G1" s="401"/>
      <c r="H1" s="401"/>
      <c r="I1" s="401"/>
      <c r="J1" s="401"/>
      <c r="K1" s="401"/>
      <c r="L1" s="401"/>
      <c r="M1" s="401"/>
      <c r="N1" s="401"/>
      <c r="O1" s="401"/>
      <c r="P1" s="401"/>
      <c r="Q1" s="401"/>
      <c r="R1" s="401"/>
      <c r="S1" s="401"/>
      <c r="T1" s="401"/>
      <c r="U1" s="401"/>
      <c r="V1" s="401"/>
      <c r="W1" s="401"/>
      <c r="X1" s="401"/>
      <c r="Y1" s="401"/>
      <c r="Z1" s="401"/>
      <c r="AA1" s="401"/>
      <c r="AB1" s="401"/>
      <c r="AD1" s="84"/>
      <c r="AE1" s="84"/>
      <c r="AF1" s="84"/>
      <c r="AW1" s="85" t="s">
        <v>1</v>
      </c>
      <c r="BF1" s="183"/>
      <c r="BG1" s="184"/>
      <c r="BH1" s="183"/>
      <c r="BI1" s="184"/>
      <c r="BJ1" s="183"/>
      <c r="BK1" s="184"/>
      <c r="BL1" s="183"/>
      <c r="BM1" s="184"/>
      <c r="BN1" s="83" t="s">
        <v>2</v>
      </c>
      <c r="BO1" s="183"/>
      <c r="BP1" s="184"/>
      <c r="BQ1" s="183"/>
      <c r="BR1" s="184"/>
      <c r="BS1" s="183"/>
      <c r="BT1" s="184"/>
      <c r="BU1" s="402"/>
      <c r="BV1" s="403"/>
      <c r="BW1" s="402"/>
      <c r="BX1" s="403"/>
      <c r="BY1" s="402"/>
      <c r="BZ1" s="403"/>
    </row>
    <row r="2" spans="3:106" s="83" customFormat="1">
      <c r="AW2" s="85"/>
      <c r="BF2" s="85" t="s">
        <v>3</v>
      </c>
      <c r="BG2" s="85"/>
      <c r="BH2" s="85"/>
      <c r="BI2" s="85"/>
      <c r="BJ2" s="85"/>
      <c r="BK2" s="85"/>
      <c r="BL2" s="85"/>
      <c r="BM2" s="85"/>
      <c r="BN2" s="85" t="s">
        <v>4</v>
      </c>
      <c r="BO2" s="85"/>
      <c r="BP2" s="85"/>
      <c r="BQ2" s="85"/>
      <c r="BR2" s="85"/>
      <c r="BS2" s="85"/>
      <c r="BT2" s="85"/>
      <c r="BU2" s="85"/>
      <c r="BV2" s="85"/>
      <c r="BW2" s="85"/>
      <c r="BX2" s="85"/>
      <c r="BY2" s="85"/>
      <c r="BZ2" s="85"/>
      <c r="CA2" s="85"/>
      <c r="CB2" s="85" t="s">
        <v>5</v>
      </c>
      <c r="CC2" s="85"/>
      <c r="CX2" s="85"/>
      <c r="CZ2" s="85"/>
    </row>
    <row r="3" spans="3:106" s="83" customFormat="1" ht="12">
      <c r="C3" s="404" t="s">
        <v>6</v>
      </c>
      <c r="D3" s="404"/>
      <c r="E3" s="404"/>
      <c r="F3" s="404"/>
      <c r="G3" s="404"/>
      <c r="H3" s="404"/>
      <c r="I3" s="404"/>
      <c r="J3" s="404"/>
      <c r="K3" s="404"/>
      <c r="L3" s="404"/>
      <c r="M3" s="404"/>
      <c r="N3" s="404"/>
      <c r="O3" s="404"/>
      <c r="P3" s="404"/>
      <c r="Q3" s="404"/>
      <c r="R3" s="404"/>
      <c r="S3" s="404"/>
      <c r="T3" s="404"/>
      <c r="U3" s="404"/>
      <c r="V3" s="404"/>
      <c r="W3" s="404"/>
      <c r="X3" s="404"/>
      <c r="Y3" s="404"/>
      <c r="Z3" s="404"/>
      <c r="AA3" s="404"/>
      <c r="AB3" s="404"/>
      <c r="AD3" s="86" t="s">
        <v>7</v>
      </c>
      <c r="AE3" s="87"/>
      <c r="AF3" s="87"/>
      <c r="AW3" s="85" t="s">
        <v>8</v>
      </c>
      <c r="BF3" s="183"/>
      <c r="BG3" s="88"/>
      <c r="BH3" s="88"/>
      <c r="BI3" s="88"/>
      <c r="BJ3" s="88"/>
      <c r="BK3" s="88"/>
      <c r="BL3" s="88"/>
      <c r="BM3" s="184"/>
      <c r="BN3" s="397"/>
      <c r="BO3" s="397"/>
      <c r="BP3" s="397"/>
      <c r="BQ3" s="397"/>
      <c r="BR3" s="397"/>
      <c r="BS3" s="397"/>
      <c r="BT3" s="397"/>
      <c r="BU3" s="397"/>
      <c r="BV3" s="397"/>
      <c r="BW3" s="397"/>
      <c r="BX3" s="397"/>
      <c r="BY3" s="397"/>
      <c r="BZ3" s="397"/>
      <c r="CA3" s="397"/>
      <c r="CB3" s="397"/>
      <c r="CC3" s="397"/>
    </row>
    <row r="4" spans="3:106" s="89" customFormat="1" ht="10.5" thickBot="1">
      <c r="C4" s="398" t="s">
        <v>9</v>
      </c>
      <c r="D4" s="398"/>
      <c r="E4" s="398"/>
      <c r="F4" s="398"/>
      <c r="G4" s="398"/>
      <c r="H4" s="398"/>
      <c r="I4" s="398"/>
      <c r="J4" s="398"/>
      <c r="K4" s="398"/>
      <c r="L4" s="398"/>
      <c r="M4" s="398"/>
      <c r="N4" s="398"/>
      <c r="O4" s="398"/>
      <c r="P4" s="398"/>
      <c r="Q4" s="398"/>
      <c r="R4" s="398"/>
      <c r="S4" s="398"/>
      <c r="T4" s="398"/>
      <c r="U4" s="398"/>
      <c r="V4" s="398"/>
      <c r="W4" s="398"/>
      <c r="X4" s="398"/>
      <c r="Y4" s="398"/>
      <c r="Z4" s="398"/>
      <c r="AA4" s="398"/>
      <c r="AB4" s="398"/>
      <c r="AD4" s="90" t="s">
        <v>10</v>
      </c>
      <c r="AE4" s="90"/>
      <c r="AF4" s="90"/>
      <c r="AG4" s="90"/>
      <c r="AH4" s="90"/>
      <c r="AI4" s="90"/>
      <c r="AJ4" s="90"/>
      <c r="AK4" s="90"/>
      <c r="AL4" s="90"/>
      <c r="AM4" s="90"/>
      <c r="AN4" s="90"/>
      <c r="AO4" s="90"/>
      <c r="AP4" s="90"/>
    </row>
    <row r="5" spans="3:106" s="91" customFormat="1" ht="8.1"/>
    <row r="6" spans="3:106" s="92" customFormat="1" ht="15.75" customHeight="1" thickBot="1">
      <c r="D6" s="399" t="s">
        <v>11</v>
      </c>
      <c r="E6" s="399"/>
      <c r="F6" s="399"/>
      <c r="G6" s="399"/>
      <c r="H6" s="399"/>
      <c r="I6" s="399"/>
      <c r="J6" s="399"/>
      <c r="K6" s="399"/>
      <c r="L6" s="399"/>
      <c r="M6" s="399"/>
      <c r="N6" s="399"/>
      <c r="O6" s="399"/>
      <c r="P6" s="399"/>
      <c r="Q6" s="399"/>
      <c r="R6" s="399"/>
      <c r="S6" s="399"/>
      <c r="T6" s="399"/>
      <c r="U6" s="399"/>
      <c r="V6" s="399"/>
      <c r="Y6" s="399" t="s">
        <v>12</v>
      </c>
      <c r="Z6" s="399"/>
      <c r="AA6" s="399"/>
      <c r="AB6" s="399"/>
      <c r="AC6" s="399"/>
      <c r="AD6" s="399"/>
      <c r="AE6" s="399"/>
      <c r="AF6" s="399"/>
      <c r="AG6" s="399"/>
      <c r="AH6" s="399"/>
      <c r="AI6" s="399"/>
      <c r="AJ6" s="399"/>
      <c r="AK6" s="399"/>
      <c r="AL6" s="399"/>
      <c r="AM6" s="399"/>
      <c r="AN6" s="399"/>
      <c r="AO6" s="399"/>
      <c r="AP6" s="399"/>
      <c r="AQ6" s="399"/>
      <c r="AT6" s="399" t="s">
        <v>13</v>
      </c>
      <c r="AU6" s="399"/>
      <c r="AV6" s="399"/>
      <c r="AW6" s="399"/>
      <c r="AX6" s="399"/>
      <c r="AY6" s="399"/>
      <c r="AZ6" s="399"/>
      <c r="BA6" s="399"/>
      <c r="BB6" s="399"/>
      <c r="BC6" s="399"/>
      <c r="BD6" s="399"/>
      <c r="BE6" s="399"/>
      <c r="BF6" s="399"/>
      <c r="BG6" s="399"/>
      <c r="BH6" s="399"/>
      <c r="BI6" s="399"/>
      <c r="BJ6" s="399"/>
      <c r="BK6" s="399"/>
      <c r="BL6" s="399"/>
      <c r="BO6" s="400" t="s">
        <v>14</v>
      </c>
      <c r="BP6" s="400"/>
      <c r="BQ6" s="400"/>
      <c r="BR6" s="400"/>
      <c r="BS6" s="400"/>
      <c r="BT6" s="400"/>
      <c r="BU6" s="400"/>
      <c r="BV6" s="400"/>
      <c r="BW6" s="400"/>
      <c r="BX6" s="400"/>
      <c r="BY6" s="400"/>
      <c r="BZ6" s="400"/>
      <c r="CA6" s="400"/>
      <c r="CB6" s="400"/>
      <c r="CC6" s="400"/>
      <c r="CD6" s="400"/>
      <c r="CE6" s="400"/>
      <c r="CF6" s="400"/>
      <c r="CG6" s="400"/>
      <c r="CJ6" s="400"/>
      <c r="CK6" s="400"/>
      <c r="CL6" s="400"/>
      <c r="CM6" s="400"/>
      <c r="CN6" s="400"/>
      <c r="CO6" s="400"/>
      <c r="CP6" s="400"/>
      <c r="CQ6" s="400"/>
      <c r="CR6" s="93"/>
      <c r="CS6" s="93"/>
      <c r="CT6" s="93"/>
      <c r="CU6" s="93"/>
      <c r="CV6" s="93"/>
      <c r="CW6" s="93"/>
      <c r="CX6" s="93"/>
      <c r="CY6" s="93"/>
      <c r="CZ6" s="93"/>
      <c r="DA6" s="93"/>
      <c r="DB6" s="93"/>
    </row>
    <row r="7" spans="3:106" s="92" customFormat="1" ht="8.4499999999999993" thickTop="1">
      <c r="D7" s="400" t="s">
        <v>15</v>
      </c>
      <c r="E7" s="400"/>
      <c r="F7" s="400"/>
      <c r="G7" s="400"/>
      <c r="H7" s="400"/>
      <c r="I7" s="181"/>
      <c r="J7" s="181"/>
      <c r="K7" s="400" t="s">
        <v>16</v>
      </c>
      <c r="L7" s="400"/>
      <c r="M7" s="400"/>
      <c r="N7" s="400"/>
      <c r="O7" s="400"/>
      <c r="P7" s="181"/>
      <c r="Q7" s="181"/>
      <c r="R7" s="400" t="s">
        <v>17</v>
      </c>
      <c r="S7" s="400"/>
      <c r="T7" s="400"/>
      <c r="U7" s="400"/>
      <c r="V7" s="400"/>
      <c r="Y7" s="400" t="s">
        <v>15</v>
      </c>
      <c r="Z7" s="400"/>
      <c r="AA7" s="400"/>
      <c r="AB7" s="400"/>
      <c r="AC7" s="400"/>
      <c r="AD7" s="181"/>
      <c r="AE7" s="181"/>
      <c r="AF7" s="400" t="s">
        <v>16</v>
      </c>
      <c r="AG7" s="400"/>
      <c r="AH7" s="400"/>
      <c r="AI7" s="400"/>
      <c r="AJ7" s="400"/>
      <c r="AK7" s="181"/>
      <c r="AL7" s="181"/>
      <c r="AM7" s="400" t="s">
        <v>17</v>
      </c>
      <c r="AN7" s="400"/>
      <c r="AO7" s="400"/>
      <c r="AP7" s="400"/>
      <c r="AQ7" s="400"/>
      <c r="AT7" s="400" t="s">
        <v>15</v>
      </c>
      <c r="AU7" s="400"/>
      <c r="AV7" s="400"/>
      <c r="AW7" s="400"/>
      <c r="AX7" s="400"/>
      <c r="AY7" s="181"/>
      <c r="AZ7" s="181"/>
      <c r="BA7" s="400" t="s">
        <v>16</v>
      </c>
      <c r="BB7" s="400"/>
      <c r="BC7" s="400"/>
      <c r="BD7" s="400"/>
      <c r="BE7" s="400"/>
      <c r="BF7" s="181"/>
      <c r="BG7" s="181"/>
      <c r="BH7" s="400" t="s">
        <v>17</v>
      </c>
      <c r="BI7" s="400"/>
      <c r="BJ7" s="400"/>
      <c r="BK7" s="400"/>
      <c r="BL7" s="400"/>
      <c r="BO7" s="414" t="s">
        <v>15</v>
      </c>
      <c r="BP7" s="414"/>
      <c r="BQ7" s="414"/>
      <c r="BR7" s="414"/>
      <c r="BS7" s="414"/>
      <c r="BT7" s="185"/>
      <c r="BU7" s="185"/>
      <c r="BV7" s="414" t="s">
        <v>16</v>
      </c>
      <c r="BW7" s="414"/>
      <c r="BX7" s="414"/>
      <c r="BY7" s="414"/>
      <c r="BZ7" s="414"/>
      <c r="CA7" s="185"/>
      <c r="CB7" s="185"/>
      <c r="CC7" s="414" t="s">
        <v>16</v>
      </c>
      <c r="CD7" s="414"/>
      <c r="CE7" s="414"/>
      <c r="CF7" s="414"/>
      <c r="CG7" s="414"/>
      <c r="CJ7" s="400"/>
      <c r="CK7" s="400"/>
      <c r="CL7" s="400"/>
      <c r="CM7" s="400"/>
      <c r="CN7" s="400"/>
      <c r="CO7" s="181"/>
      <c r="CP7" s="181"/>
      <c r="CQ7" s="400"/>
      <c r="CR7" s="400"/>
      <c r="CS7" s="400"/>
      <c r="CT7" s="400"/>
      <c r="CU7" s="400"/>
      <c r="CV7" s="181"/>
      <c r="CW7" s="181"/>
      <c r="CX7" s="400"/>
      <c r="CY7" s="400"/>
      <c r="CZ7" s="400"/>
      <c r="DA7" s="400"/>
      <c r="DB7" s="400"/>
    </row>
    <row r="8" spans="3:106" s="91" customFormat="1" ht="8.1"/>
    <row r="9" spans="3:106" s="91" customFormat="1" ht="8.1">
      <c r="C9" s="94" t="s">
        <v>18</v>
      </c>
      <c r="D9" s="426"/>
      <c r="E9" s="427"/>
      <c r="F9" s="427"/>
      <c r="G9" s="427"/>
      <c r="H9" s="428"/>
      <c r="J9" s="94" t="s">
        <v>18</v>
      </c>
      <c r="K9" s="426"/>
      <c r="L9" s="427"/>
      <c r="M9" s="427"/>
      <c r="N9" s="427"/>
      <c r="O9" s="428"/>
      <c r="Q9" s="94" t="s">
        <v>18</v>
      </c>
      <c r="R9" s="426"/>
      <c r="S9" s="427"/>
      <c r="T9" s="427"/>
      <c r="U9" s="427"/>
      <c r="V9" s="428"/>
      <c r="X9" s="94" t="s">
        <v>18</v>
      </c>
      <c r="Y9" s="426"/>
      <c r="Z9" s="427"/>
      <c r="AA9" s="427"/>
      <c r="AB9" s="427"/>
      <c r="AC9" s="428"/>
      <c r="AE9" s="95"/>
      <c r="AF9" s="429"/>
      <c r="AG9" s="430"/>
      <c r="AH9" s="430"/>
      <c r="AI9" s="430"/>
      <c r="AJ9" s="431"/>
      <c r="AK9" s="95"/>
      <c r="AL9" s="94" t="s">
        <v>18</v>
      </c>
      <c r="AM9" s="423"/>
      <c r="AN9" s="424"/>
      <c r="AO9" s="424"/>
      <c r="AP9" s="424"/>
      <c r="AQ9" s="425"/>
      <c r="AR9" s="95"/>
      <c r="AS9" s="94" t="s">
        <v>18</v>
      </c>
      <c r="AT9" s="423"/>
      <c r="AU9" s="424"/>
      <c r="AV9" s="424"/>
      <c r="AW9" s="424"/>
      <c r="AX9" s="425"/>
      <c r="AY9" s="95"/>
      <c r="AZ9" s="94" t="s">
        <v>19</v>
      </c>
      <c r="BA9" s="423"/>
      <c r="BB9" s="424"/>
      <c r="BC9" s="424"/>
      <c r="BD9" s="424"/>
      <c r="BE9" s="425"/>
      <c r="BF9" s="95"/>
      <c r="BG9" s="94" t="s">
        <v>19</v>
      </c>
      <c r="BH9" s="423"/>
      <c r="BI9" s="424"/>
      <c r="BJ9" s="424"/>
      <c r="BK9" s="424"/>
      <c r="BL9" s="425"/>
      <c r="BM9" s="95"/>
      <c r="BN9" s="94" t="s">
        <v>19</v>
      </c>
      <c r="BO9" s="423"/>
      <c r="BP9" s="424"/>
      <c r="BQ9" s="424"/>
      <c r="BR9" s="424"/>
      <c r="BS9" s="425"/>
      <c r="BT9" s="95"/>
      <c r="BU9" s="94"/>
      <c r="BV9" s="423"/>
      <c r="BW9" s="424"/>
      <c r="BX9" s="424"/>
      <c r="BY9" s="424"/>
      <c r="BZ9" s="425"/>
      <c r="CA9" s="95"/>
      <c r="CB9" s="95"/>
      <c r="CC9" s="423"/>
      <c r="CD9" s="424"/>
      <c r="CE9" s="424"/>
      <c r="CF9" s="424"/>
      <c r="CG9" s="425"/>
      <c r="CH9" s="95"/>
      <c r="CI9" s="95"/>
    </row>
    <row r="10" spans="3:106" s="91" customFormat="1" ht="8.1">
      <c r="C10" s="94"/>
      <c r="D10" s="405" t="s">
        <v>20</v>
      </c>
      <c r="E10" s="406"/>
      <c r="F10" s="406"/>
      <c r="G10" s="406"/>
      <c r="H10" s="407"/>
      <c r="J10" s="94"/>
      <c r="K10" s="405" t="s">
        <v>21</v>
      </c>
      <c r="L10" s="406"/>
      <c r="M10" s="406"/>
      <c r="N10" s="406"/>
      <c r="O10" s="407"/>
      <c r="Q10" s="94"/>
      <c r="R10" s="405" t="s">
        <v>22</v>
      </c>
      <c r="S10" s="406"/>
      <c r="T10" s="406"/>
      <c r="U10" s="406"/>
      <c r="V10" s="407"/>
      <c r="X10" s="94"/>
      <c r="Y10" s="405" t="s">
        <v>23</v>
      </c>
      <c r="Z10" s="406"/>
      <c r="AA10" s="406"/>
      <c r="AB10" s="406"/>
      <c r="AC10" s="407"/>
      <c r="AE10" s="95"/>
      <c r="AF10" s="408" t="s">
        <v>24</v>
      </c>
      <c r="AG10" s="409"/>
      <c r="AH10" s="409"/>
      <c r="AI10" s="409"/>
      <c r="AJ10" s="410"/>
      <c r="AK10" s="95"/>
      <c r="AL10" s="94"/>
      <c r="AM10" s="411" t="s">
        <v>25</v>
      </c>
      <c r="AN10" s="412"/>
      <c r="AO10" s="412"/>
      <c r="AP10" s="412"/>
      <c r="AQ10" s="413"/>
      <c r="AR10" s="95"/>
      <c r="AS10" s="94"/>
      <c r="AT10" s="411" t="s">
        <v>26</v>
      </c>
      <c r="AU10" s="412"/>
      <c r="AV10" s="412"/>
      <c r="AW10" s="412"/>
      <c r="AX10" s="413"/>
      <c r="AY10" s="95"/>
      <c r="AZ10" s="94"/>
      <c r="BA10" s="411" t="s">
        <v>27</v>
      </c>
      <c r="BB10" s="412"/>
      <c r="BC10" s="412"/>
      <c r="BD10" s="412"/>
      <c r="BE10" s="413"/>
      <c r="BF10" s="95"/>
      <c r="BG10" s="94"/>
      <c r="BH10" s="411" t="s">
        <v>28</v>
      </c>
      <c r="BI10" s="412"/>
      <c r="BJ10" s="412"/>
      <c r="BK10" s="412"/>
      <c r="BL10" s="413"/>
      <c r="BM10" s="95"/>
      <c r="BN10" s="94"/>
      <c r="BO10" s="411" t="s">
        <v>29</v>
      </c>
      <c r="BP10" s="412"/>
      <c r="BQ10" s="412"/>
      <c r="BR10" s="412"/>
      <c r="BS10" s="413"/>
      <c r="BT10" s="95"/>
      <c r="BU10" s="94"/>
      <c r="BV10" s="411" t="s">
        <v>29</v>
      </c>
      <c r="BW10" s="412"/>
      <c r="BX10" s="412"/>
      <c r="BY10" s="412"/>
      <c r="BZ10" s="413"/>
      <c r="CA10" s="95"/>
      <c r="CB10" s="95"/>
      <c r="CC10" s="411" t="s">
        <v>30</v>
      </c>
      <c r="CD10" s="412"/>
      <c r="CE10" s="412"/>
      <c r="CF10" s="412"/>
      <c r="CG10" s="413"/>
      <c r="CH10" s="95"/>
      <c r="CI10" s="95"/>
    </row>
    <row r="11" spans="3:106" s="91" customFormat="1" ht="8.1">
      <c r="C11" s="94"/>
      <c r="D11" s="405">
        <v>3</v>
      </c>
      <c r="E11" s="406"/>
      <c r="F11" s="96"/>
      <c r="G11" s="96"/>
      <c r="H11" s="97"/>
      <c r="J11" s="94"/>
      <c r="K11" s="405">
        <v>3</v>
      </c>
      <c r="L11" s="406"/>
      <c r="M11" s="96"/>
      <c r="N11" s="96"/>
      <c r="O11" s="97"/>
      <c r="Q11" s="94"/>
      <c r="R11" s="405">
        <v>3</v>
      </c>
      <c r="S11" s="406"/>
      <c r="T11" s="96"/>
      <c r="U11" s="96"/>
      <c r="V11" s="97"/>
      <c r="X11" s="94"/>
      <c r="Y11" s="405">
        <v>3</v>
      </c>
      <c r="Z11" s="406"/>
      <c r="AA11" s="96"/>
      <c r="AB11" s="96"/>
      <c r="AC11" s="97"/>
      <c r="AE11" s="95"/>
      <c r="AF11" s="408">
        <v>3</v>
      </c>
      <c r="AG11" s="409"/>
      <c r="AH11" s="169"/>
      <c r="AI11" s="169"/>
      <c r="AJ11" s="170"/>
      <c r="AK11" s="95"/>
      <c r="AL11" s="94"/>
      <c r="AM11" s="411">
        <v>3</v>
      </c>
      <c r="AN11" s="412"/>
      <c r="AO11" s="98"/>
      <c r="AP11" s="98"/>
      <c r="AQ11" s="99"/>
      <c r="AR11" s="95"/>
      <c r="AS11" s="94"/>
      <c r="AT11" s="411">
        <v>3</v>
      </c>
      <c r="AU11" s="412"/>
      <c r="AV11" s="98"/>
      <c r="AW11" s="98"/>
      <c r="AX11" s="99"/>
      <c r="AY11" s="95"/>
      <c r="AZ11" s="94"/>
      <c r="BA11" s="411">
        <v>3</v>
      </c>
      <c r="BB11" s="412"/>
      <c r="BC11" s="98"/>
      <c r="BD11" s="98"/>
      <c r="BE11" s="99"/>
      <c r="BF11" s="95"/>
      <c r="BG11" s="94"/>
      <c r="BH11" s="411"/>
      <c r="BI11" s="412"/>
      <c r="BJ11" s="98"/>
      <c r="BK11" s="98"/>
      <c r="BL11" s="99"/>
      <c r="BM11" s="95"/>
      <c r="BN11" s="94"/>
      <c r="BO11" s="411"/>
      <c r="BP11" s="412"/>
      <c r="BQ11" s="98"/>
      <c r="BR11" s="98"/>
      <c r="BS11" s="99"/>
      <c r="BT11" s="95"/>
      <c r="BU11" s="94"/>
      <c r="BV11" s="411"/>
      <c r="BW11" s="412"/>
      <c r="BX11" s="98"/>
      <c r="BY11" s="98"/>
      <c r="BZ11" s="99"/>
      <c r="CA11" s="95"/>
      <c r="CB11" s="95"/>
      <c r="CC11" s="411"/>
      <c r="CD11" s="412"/>
      <c r="CE11" s="98"/>
      <c r="CF11" s="98"/>
      <c r="CG11" s="99"/>
      <c r="CH11" s="95"/>
      <c r="CI11" s="95"/>
    </row>
    <row r="12" spans="3:106" s="91" customFormat="1" ht="8.1">
      <c r="C12" s="94"/>
      <c r="D12" s="438"/>
      <c r="E12" s="439"/>
      <c r="F12" s="100"/>
      <c r="G12" s="100"/>
      <c r="H12" s="101"/>
      <c r="J12" s="94"/>
      <c r="K12" s="438"/>
      <c r="L12" s="439"/>
      <c r="M12" s="100"/>
      <c r="N12" s="100"/>
      <c r="O12" s="101"/>
      <c r="Q12" s="94"/>
      <c r="R12" s="438"/>
      <c r="S12" s="439"/>
      <c r="T12" s="100"/>
      <c r="U12" s="100"/>
      <c r="V12" s="101"/>
      <c r="X12" s="94"/>
      <c r="Y12" s="438"/>
      <c r="Z12" s="439"/>
      <c r="AA12" s="100"/>
      <c r="AB12" s="100"/>
      <c r="AC12" s="101"/>
      <c r="AE12" s="95"/>
      <c r="AF12" s="440"/>
      <c r="AG12" s="441"/>
      <c r="AH12" s="171"/>
      <c r="AI12" s="171"/>
      <c r="AJ12" s="172"/>
      <c r="AK12" s="95"/>
      <c r="AL12" s="94"/>
      <c r="AM12" s="421"/>
      <c r="AN12" s="422"/>
      <c r="AO12" s="102"/>
      <c r="AP12" s="102"/>
      <c r="AQ12" s="103"/>
      <c r="AR12" s="95"/>
      <c r="AS12" s="94"/>
      <c r="AT12" s="421">
        <v>1</v>
      </c>
      <c r="AU12" s="422"/>
      <c r="AV12" s="102"/>
      <c r="AW12" s="102"/>
      <c r="AX12" s="103"/>
      <c r="AY12" s="95"/>
      <c r="AZ12" s="94"/>
      <c r="BA12" s="421"/>
      <c r="BB12" s="422"/>
      <c r="BC12" s="102"/>
      <c r="BD12" s="102"/>
      <c r="BE12" s="103"/>
      <c r="BF12" s="95"/>
      <c r="BG12" s="94"/>
      <c r="BH12" s="421">
        <v>1</v>
      </c>
      <c r="BI12" s="422"/>
      <c r="BJ12" s="102"/>
      <c r="BK12" s="102"/>
      <c r="BL12" s="103"/>
      <c r="BM12" s="95"/>
      <c r="BN12" s="94"/>
      <c r="BO12" s="421">
        <v>6</v>
      </c>
      <c r="BP12" s="422"/>
      <c r="BQ12" s="102"/>
      <c r="BR12" s="102"/>
      <c r="BS12" s="103"/>
      <c r="BT12" s="95"/>
      <c r="BU12" s="94"/>
      <c r="BV12" s="421">
        <v>6</v>
      </c>
      <c r="BW12" s="422"/>
      <c r="BX12" s="102"/>
      <c r="BY12" s="102"/>
      <c r="BZ12" s="103"/>
      <c r="CA12" s="95"/>
      <c r="CB12" s="95"/>
      <c r="CC12" s="421">
        <v>6</v>
      </c>
      <c r="CD12" s="422"/>
      <c r="CE12" s="102"/>
      <c r="CF12" s="102"/>
      <c r="CG12" s="103"/>
      <c r="CH12" s="95"/>
      <c r="CI12" s="95"/>
    </row>
    <row r="13" spans="3:106" s="91" customFormat="1" ht="8.1">
      <c r="C13" s="94"/>
      <c r="J13" s="94"/>
      <c r="Q13" s="94"/>
      <c r="X13" s="94"/>
      <c r="AE13" s="95"/>
      <c r="AF13" s="95"/>
      <c r="AG13" s="95"/>
      <c r="AH13" s="95"/>
      <c r="AI13" s="95"/>
      <c r="AJ13" s="95"/>
      <c r="AK13" s="95"/>
      <c r="AL13" s="94"/>
      <c r="AM13" s="95"/>
      <c r="AN13" s="95"/>
      <c r="AO13" s="95"/>
      <c r="AP13" s="95"/>
      <c r="AQ13" s="95"/>
      <c r="AR13" s="95"/>
      <c r="AS13" s="94"/>
      <c r="AT13" s="95"/>
      <c r="AU13" s="95"/>
      <c r="AV13" s="95"/>
      <c r="AW13" s="95"/>
      <c r="AX13" s="95"/>
      <c r="AY13" s="95"/>
      <c r="AZ13" s="94"/>
      <c r="BA13" s="95"/>
      <c r="BB13" s="95"/>
      <c r="BC13" s="95"/>
      <c r="BD13" s="95"/>
      <c r="BE13" s="95"/>
      <c r="BF13" s="95"/>
      <c r="BG13" s="94"/>
      <c r="BH13" s="95"/>
      <c r="BI13" s="95"/>
      <c r="BJ13" s="95"/>
      <c r="BK13" s="95"/>
      <c r="BL13" s="95"/>
      <c r="BM13" s="95"/>
      <c r="BN13" s="94"/>
      <c r="BO13" s="95"/>
      <c r="BP13" s="95"/>
      <c r="BQ13" s="95"/>
      <c r="BR13" s="95"/>
      <c r="BS13" s="95"/>
      <c r="BT13" s="95"/>
      <c r="BU13" s="94"/>
      <c r="BV13" s="95"/>
      <c r="BW13" s="95"/>
      <c r="BX13" s="95"/>
      <c r="BY13" s="95"/>
      <c r="BZ13" s="95"/>
      <c r="CA13" s="95"/>
      <c r="CB13" s="95"/>
      <c r="CC13" s="95"/>
      <c r="CD13" s="95"/>
      <c r="CE13" s="95"/>
      <c r="CF13" s="95"/>
      <c r="CG13" s="95"/>
      <c r="CH13" s="95"/>
      <c r="CI13" s="95"/>
    </row>
    <row r="14" spans="3:106" s="91" customFormat="1" ht="8.1">
      <c r="C14" s="94" t="s">
        <v>18</v>
      </c>
      <c r="D14" s="432"/>
      <c r="E14" s="433"/>
      <c r="F14" s="433"/>
      <c r="G14" s="433"/>
      <c r="H14" s="434"/>
      <c r="J14" s="94" t="s">
        <v>18</v>
      </c>
      <c r="K14" s="432"/>
      <c r="L14" s="433"/>
      <c r="M14" s="433"/>
      <c r="N14" s="433"/>
      <c r="O14" s="434"/>
      <c r="Q14" s="94" t="s">
        <v>31</v>
      </c>
      <c r="R14" s="435"/>
      <c r="S14" s="436"/>
      <c r="T14" s="436"/>
      <c r="U14" s="436"/>
      <c r="V14" s="437"/>
      <c r="X14" s="94" t="s">
        <v>32</v>
      </c>
      <c r="Y14" s="435"/>
      <c r="Z14" s="436"/>
      <c r="AA14" s="436"/>
      <c r="AB14" s="436"/>
      <c r="AC14" s="437"/>
      <c r="AE14" s="94" t="s">
        <v>33</v>
      </c>
      <c r="AF14" s="423"/>
      <c r="AG14" s="424"/>
      <c r="AH14" s="424"/>
      <c r="AI14" s="424"/>
      <c r="AJ14" s="425"/>
      <c r="AK14" s="95"/>
      <c r="AL14" s="94" t="s">
        <v>33</v>
      </c>
      <c r="AM14" s="423"/>
      <c r="AN14" s="424"/>
      <c r="AO14" s="424"/>
      <c r="AP14" s="424"/>
      <c r="AQ14" s="425"/>
      <c r="AR14" s="95"/>
      <c r="AS14" s="94" t="s">
        <v>32</v>
      </c>
      <c r="AT14" s="423"/>
      <c r="AU14" s="424"/>
      <c r="AV14" s="424"/>
      <c r="AW14" s="424"/>
      <c r="AX14" s="425"/>
      <c r="BA14" s="423"/>
      <c r="BB14" s="424"/>
      <c r="BC14" s="424"/>
      <c r="BD14" s="424"/>
      <c r="BE14" s="425"/>
      <c r="BH14" s="423"/>
      <c r="BI14" s="424"/>
      <c r="BJ14" s="424"/>
      <c r="BK14" s="424"/>
      <c r="BL14" s="425"/>
      <c r="BM14" s="95"/>
      <c r="BN14" s="94"/>
      <c r="BT14" s="95"/>
      <c r="BU14" s="94"/>
      <c r="BV14" s="95"/>
      <c r="BW14" s="95"/>
      <c r="BX14" s="95"/>
      <c r="BY14" s="95"/>
      <c r="BZ14" s="95"/>
      <c r="CA14" s="95"/>
      <c r="CB14" s="94"/>
      <c r="CC14" s="95"/>
      <c r="CD14" s="95"/>
      <c r="CE14" s="95"/>
      <c r="CF14" s="95"/>
      <c r="CG14" s="95"/>
      <c r="CH14" s="95"/>
      <c r="CI14" s="94"/>
      <c r="CJ14" s="457"/>
      <c r="CK14" s="457"/>
      <c r="CL14" s="457"/>
      <c r="CM14" s="457"/>
      <c r="CN14" s="457"/>
    </row>
    <row r="15" spans="3:106" s="91" customFormat="1" ht="8.1">
      <c r="C15" s="94"/>
      <c r="D15" s="415" t="s">
        <v>34</v>
      </c>
      <c r="E15" s="416"/>
      <c r="F15" s="416"/>
      <c r="G15" s="416"/>
      <c r="H15" s="417"/>
      <c r="J15" s="94"/>
      <c r="K15" s="415" t="s">
        <v>35</v>
      </c>
      <c r="L15" s="416"/>
      <c r="M15" s="416"/>
      <c r="N15" s="416"/>
      <c r="O15" s="417"/>
      <c r="Q15" s="94"/>
      <c r="R15" s="418" t="s">
        <v>36</v>
      </c>
      <c r="S15" s="419"/>
      <c r="T15" s="419"/>
      <c r="U15" s="419"/>
      <c r="V15" s="420"/>
      <c r="X15" s="94"/>
      <c r="Y15" s="418" t="s">
        <v>37</v>
      </c>
      <c r="Z15" s="419"/>
      <c r="AA15" s="419"/>
      <c r="AB15" s="419"/>
      <c r="AC15" s="420"/>
      <c r="AE15" s="94"/>
      <c r="AF15" s="411" t="s">
        <v>38</v>
      </c>
      <c r="AG15" s="412"/>
      <c r="AH15" s="412"/>
      <c r="AI15" s="412"/>
      <c r="AJ15" s="413"/>
      <c r="AK15" s="95"/>
      <c r="AL15" s="94"/>
      <c r="AM15" s="411" t="s">
        <v>39</v>
      </c>
      <c r="AN15" s="412"/>
      <c r="AO15" s="412"/>
      <c r="AP15" s="412"/>
      <c r="AQ15" s="413"/>
      <c r="AR15" s="95"/>
      <c r="AS15" s="94"/>
      <c r="AT15" s="411" t="s">
        <v>40</v>
      </c>
      <c r="AU15" s="412"/>
      <c r="AV15" s="412"/>
      <c r="AW15" s="412"/>
      <c r="AX15" s="413"/>
      <c r="BA15" s="411" t="s">
        <v>41</v>
      </c>
      <c r="BB15" s="412"/>
      <c r="BC15" s="412"/>
      <c r="BD15" s="412"/>
      <c r="BE15" s="413"/>
      <c r="BH15" s="411" t="s">
        <v>42</v>
      </c>
      <c r="BI15" s="412"/>
      <c r="BJ15" s="412"/>
      <c r="BK15" s="412"/>
      <c r="BL15" s="413"/>
      <c r="BM15" s="95"/>
      <c r="BN15" s="94"/>
      <c r="BT15" s="95"/>
      <c r="BU15" s="94"/>
      <c r="BV15" s="95" t="s">
        <v>43</v>
      </c>
      <c r="BW15" s="95"/>
      <c r="BX15" s="95"/>
      <c r="BY15" s="95"/>
      <c r="BZ15" s="95"/>
      <c r="CA15" s="95"/>
      <c r="CB15" s="94"/>
      <c r="CC15" s="95"/>
      <c r="CD15" s="95"/>
      <c r="CE15" s="95"/>
      <c r="CF15" s="95"/>
      <c r="CG15" s="95"/>
      <c r="CH15" s="95"/>
      <c r="CI15" s="94"/>
      <c r="CJ15" s="457"/>
      <c r="CK15" s="457"/>
      <c r="CL15" s="457"/>
      <c r="CM15" s="457"/>
      <c r="CN15" s="457"/>
    </row>
    <row r="16" spans="3:106" s="91" customFormat="1" ht="8.1">
      <c r="C16" s="94"/>
      <c r="D16" s="415">
        <v>3</v>
      </c>
      <c r="E16" s="416"/>
      <c r="F16" s="125"/>
      <c r="G16" s="125"/>
      <c r="H16" s="126"/>
      <c r="J16" s="94"/>
      <c r="K16" s="415">
        <v>3</v>
      </c>
      <c r="L16" s="416"/>
      <c r="M16" s="125"/>
      <c r="N16" s="125"/>
      <c r="O16" s="126"/>
      <c r="Q16" s="94"/>
      <c r="R16" s="418">
        <v>3</v>
      </c>
      <c r="S16" s="419"/>
      <c r="T16" s="133"/>
      <c r="U16" s="133"/>
      <c r="V16" s="134"/>
      <c r="X16" s="94"/>
      <c r="Y16" s="418">
        <v>3</v>
      </c>
      <c r="Z16" s="419"/>
      <c r="AA16" s="133"/>
      <c r="AB16" s="133"/>
      <c r="AC16" s="134"/>
      <c r="AE16" s="94"/>
      <c r="AF16" s="411">
        <v>3</v>
      </c>
      <c r="AG16" s="412"/>
      <c r="AH16" s="98"/>
      <c r="AI16" s="98"/>
      <c r="AJ16" s="99"/>
      <c r="AK16" s="95"/>
      <c r="AL16" s="94"/>
      <c r="AM16" s="411"/>
      <c r="AN16" s="412"/>
      <c r="AO16" s="98"/>
      <c r="AP16" s="98"/>
      <c r="AQ16" s="99"/>
      <c r="AR16" s="95"/>
      <c r="AS16" s="94"/>
      <c r="AT16" s="411">
        <v>3</v>
      </c>
      <c r="AU16" s="412"/>
      <c r="AV16" s="98"/>
      <c r="AW16" s="98"/>
      <c r="AX16" s="99"/>
      <c r="BA16" s="411">
        <v>3</v>
      </c>
      <c r="BB16" s="412"/>
      <c r="BC16" s="98"/>
      <c r="BD16" s="98"/>
      <c r="BE16" s="99"/>
      <c r="BH16" s="411">
        <v>2</v>
      </c>
      <c r="BI16" s="412"/>
      <c r="BJ16" s="98"/>
      <c r="BK16" s="98"/>
      <c r="BL16" s="99"/>
      <c r="BM16" s="95"/>
      <c r="BN16" s="94"/>
      <c r="BT16" s="95"/>
      <c r="BU16" s="94"/>
      <c r="BV16" s="95"/>
      <c r="BW16" s="95"/>
      <c r="BX16" s="95"/>
      <c r="BY16" s="95"/>
      <c r="BZ16" s="95"/>
      <c r="CA16" s="95"/>
      <c r="CB16" s="94"/>
      <c r="CC16" s="95"/>
      <c r="CD16" s="95"/>
      <c r="CE16" s="95"/>
      <c r="CF16" s="95"/>
      <c r="CG16" s="95"/>
      <c r="CH16" s="95"/>
      <c r="CI16" s="94"/>
      <c r="CJ16" s="457"/>
      <c r="CK16" s="457"/>
      <c r="CL16" s="95"/>
      <c r="CM16" s="95"/>
      <c r="CN16" s="95"/>
    </row>
    <row r="17" spans="3:94" s="91" customFormat="1" ht="8.1">
      <c r="C17" s="94"/>
      <c r="D17" s="455">
        <v>1</v>
      </c>
      <c r="E17" s="456"/>
      <c r="F17" s="127"/>
      <c r="G17" s="127"/>
      <c r="H17" s="128"/>
      <c r="J17" s="94"/>
      <c r="K17" s="455">
        <v>1</v>
      </c>
      <c r="L17" s="456"/>
      <c r="M17" s="127"/>
      <c r="N17" s="127"/>
      <c r="O17" s="128"/>
      <c r="Q17" s="94"/>
      <c r="R17" s="442">
        <v>1</v>
      </c>
      <c r="S17" s="443"/>
      <c r="T17" s="135"/>
      <c r="U17" s="135"/>
      <c r="V17" s="136"/>
      <c r="X17" s="94"/>
      <c r="Y17" s="442">
        <v>1</v>
      </c>
      <c r="Z17" s="443"/>
      <c r="AA17" s="135"/>
      <c r="AB17" s="135"/>
      <c r="AC17" s="136"/>
      <c r="AE17" s="94"/>
      <c r="AF17" s="421">
        <v>1</v>
      </c>
      <c r="AG17" s="422"/>
      <c r="AH17" s="102"/>
      <c r="AI17" s="102"/>
      <c r="AJ17" s="103"/>
      <c r="AK17" s="95"/>
      <c r="AL17" s="94"/>
      <c r="AM17" s="421">
        <v>1</v>
      </c>
      <c r="AN17" s="422"/>
      <c r="AO17" s="102"/>
      <c r="AP17" s="102"/>
      <c r="AQ17" s="103"/>
      <c r="AR17" s="95"/>
      <c r="AS17" s="94"/>
      <c r="AT17" s="421"/>
      <c r="AU17" s="422"/>
      <c r="AV17" s="102"/>
      <c r="AW17" s="102"/>
      <c r="AX17" s="103"/>
      <c r="BA17" s="421">
        <v>1</v>
      </c>
      <c r="BB17" s="422"/>
      <c r="BC17" s="102"/>
      <c r="BD17" s="102"/>
      <c r="BE17" s="103"/>
      <c r="BH17" s="421"/>
      <c r="BI17" s="422"/>
      <c r="BJ17" s="102"/>
      <c r="BK17" s="102"/>
      <c r="BL17" s="103"/>
      <c r="BM17" s="95"/>
      <c r="BN17" s="94"/>
      <c r="BT17" s="95"/>
      <c r="BU17" s="94"/>
      <c r="BV17" s="95"/>
      <c r="BW17" s="95"/>
      <c r="BX17" s="95"/>
      <c r="BY17" s="95"/>
      <c r="BZ17" s="95"/>
      <c r="CA17" s="95"/>
      <c r="CB17" s="94"/>
      <c r="CC17" s="95"/>
      <c r="CD17" s="95"/>
      <c r="CE17" s="95"/>
      <c r="CF17" s="95"/>
      <c r="CG17" s="95"/>
      <c r="CH17" s="95"/>
      <c r="CI17" s="94"/>
      <c r="CJ17" s="457"/>
      <c r="CK17" s="457"/>
      <c r="CL17" s="95"/>
      <c r="CM17" s="95"/>
      <c r="CN17" s="95"/>
    </row>
    <row r="18" spans="3:94" s="91" customFormat="1" ht="8.1">
      <c r="C18" s="94"/>
      <c r="J18" s="94"/>
      <c r="Q18" s="94"/>
      <c r="X18" s="94"/>
      <c r="AE18" s="94"/>
      <c r="AF18" s="95"/>
      <c r="AG18" s="95"/>
      <c r="AH18" s="95"/>
      <c r="AI18" s="95"/>
      <c r="AJ18" s="95"/>
      <c r="AK18" s="95"/>
      <c r="AL18" s="94"/>
      <c r="AM18" s="95"/>
      <c r="AN18" s="95"/>
      <c r="AO18" s="95"/>
      <c r="AP18" s="95"/>
      <c r="AQ18" s="95"/>
      <c r="AR18" s="95"/>
      <c r="AS18" s="94"/>
      <c r="AT18" s="95"/>
      <c r="AU18" s="95"/>
      <c r="AV18" s="95"/>
      <c r="AW18" s="95"/>
      <c r="AX18" s="95"/>
      <c r="AY18" s="95"/>
      <c r="AZ18" s="94"/>
      <c r="BA18" s="95"/>
      <c r="BB18" s="95"/>
      <c r="BC18" s="95"/>
      <c r="BD18" s="95"/>
      <c r="BE18" s="95"/>
      <c r="BF18" s="95"/>
      <c r="BG18" s="94"/>
      <c r="BH18" s="95"/>
      <c r="BI18" s="95"/>
      <c r="BJ18" s="95"/>
      <c r="BK18" s="95"/>
      <c r="BL18" s="95"/>
      <c r="BM18" s="95"/>
      <c r="BN18" s="94"/>
      <c r="BO18" s="95"/>
      <c r="BP18" s="95"/>
      <c r="BQ18" s="95"/>
      <c r="BR18" s="95"/>
      <c r="BS18" s="95"/>
      <c r="BT18" s="95"/>
      <c r="BU18" s="94"/>
      <c r="BV18" s="95"/>
      <c r="BW18" s="95"/>
      <c r="BX18" s="95"/>
      <c r="BY18" s="95"/>
      <c r="BZ18" s="95"/>
      <c r="CA18" s="95"/>
      <c r="CB18" s="95"/>
      <c r="CC18" s="95"/>
      <c r="CD18" s="95"/>
      <c r="CE18" s="95"/>
      <c r="CF18" s="95"/>
      <c r="CG18" s="95"/>
      <c r="CH18" s="95"/>
      <c r="CI18" s="95"/>
    </row>
    <row r="19" spans="3:94" s="91" customFormat="1" ht="8.1">
      <c r="C19" s="94" t="s">
        <v>19</v>
      </c>
      <c r="D19" s="423"/>
      <c r="E19" s="424"/>
      <c r="F19" s="424"/>
      <c r="G19" s="424"/>
      <c r="H19" s="425"/>
      <c r="J19" s="94" t="s">
        <v>18</v>
      </c>
      <c r="Q19" s="94" t="s">
        <v>31</v>
      </c>
      <c r="R19" s="503"/>
      <c r="S19" s="504"/>
      <c r="T19" s="504"/>
      <c r="U19" s="504"/>
      <c r="V19" s="505"/>
      <c r="X19" s="94"/>
      <c r="Y19" s="447"/>
      <c r="Z19" s="448"/>
      <c r="AA19" s="448"/>
      <c r="AB19" s="448"/>
      <c r="AC19" s="449"/>
      <c r="AE19" s="94" t="s">
        <v>19</v>
      </c>
      <c r="AF19" s="492"/>
      <c r="AG19" s="493"/>
      <c r="AH19" s="493"/>
      <c r="AI19" s="493"/>
      <c r="AJ19" s="494"/>
      <c r="AK19" s="95"/>
      <c r="AL19" s="94" t="s">
        <v>32</v>
      </c>
      <c r="AM19" s="423"/>
      <c r="AN19" s="424"/>
      <c r="AO19" s="424"/>
      <c r="AP19" s="424"/>
      <c r="AQ19" s="425"/>
      <c r="AR19" s="95"/>
      <c r="AS19" s="94"/>
      <c r="AT19" s="423"/>
      <c r="AU19" s="424"/>
      <c r="AV19" s="424"/>
      <c r="AW19" s="424"/>
      <c r="AX19" s="425"/>
      <c r="AY19" s="95"/>
      <c r="AZ19" s="94" t="s">
        <v>32</v>
      </c>
      <c r="BA19" s="423"/>
      <c r="BB19" s="424"/>
      <c r="BC19" s="424"/>
      <c r="BD19" s="424"/>
      <c r="BE19" s="425"/>
      <c r="BF19" s="95"/>
      <c r="BG19" s="94" t="s">
        <v>32</v>
      </c>
      <c r="BH19" s="478"/>
      <c r="BI19" s="479"/>
      <c r="BJ19" s="479"/>
      <c r="BK19" s="479"/>
      <c r="BL19" s="480"/>
      <c r="BN19" s="95"/>
      <c r="BT19" s="95"/>
      <c r="BU19" s="94" t="s">
        <v>32</v>
      </c>
      <c r="BV19" s="95"/>
      <c r="BW19" s="95"/>
      <c r="BX19" s="95"/>
      <c r="BY19" s="95"/>
      <c r="BZ19" s="95"/>
      <c r="CA19" s="95"/>
      <c r="CB19" s="94" t="s">
        <v>44</v>
      </c>
      <c r="CH19" s="95"/>
      <c r="CI19" s="95"/>
      <c r="CJ19" s="464"/>
      <c r="CK19" s="464"/>
      <c r="CL19" s="464"/>
      <c r="CM19" s="464"/>
      <c r="CN19" s="464"/>
    </row>
    <row r="20" spans="3:94" s="91" customFormat="1" ht="8.1">
      <c r="C20" s="94"/>
      <c r="D20" s="411" t="s">
        <v>45</v>
      </c>
      <c r="E20" s="412"/>
      <c r="F20" s="412"/>
      <c r="G20" s="412"/>
      <c r="H20" s="413"/>
      <c r="J20" s="94"/>
      <c r="Q20" s="94"/>
      <c r="R20" s="484" t="s">
        <v>46</v>
      </c>
      <c r="S20" s="485"/>
      <c r="T20" s="485"/>
      <c r="U20" s="485"/>
      <c r="V20" s="506"/>
      <c r="X20" s="94"/>
      <c r="Y20" s="444" t="s">
        <v>47</v>
      </c>
      <c r="Z20" s="445"/>
      <c r="AA20" s="445"/>
      <c r="AB20" s="445"/>
      <c r="AC20" s="446"/>
      <c r="AE20" s="94"/>
      <c r="AF20" s="453" t="s">
        <v>48</v>
      </c>
      <c r="AG20" s="454"/>
      <c r="AH20" s="454"/>
      <c r="AI20" s="454"/>
      <c r="AJ20" s="488"/>
      <c r="AK20" s="95"/>
      <c r="AL20" s="94"/>
      <c r="AM20" s="411" t="s">
        <v>49</v>
      </c>
      <c r="AN20" s="412"/>
      <c r="AO20" s="412"/>
      <c r="AP20" s="412"/>
      <c r="AQ20" s="413"/>
      <c r="AR20" s="95"/>
      <c r="AS20" s="94"/>
      <c r="AT20" s="411" t="s">
        <v>50</v>
      </c>
      <c r="AU20" s="412"/>
      <c r="AV20" s="412"/>
      <c r="AW20" s="412"/>
      <c r="AX20" s="413"/>
      <c r="AY20" s="95"/>
      <c r="AZ20" s="94"/>
      <c r="BA20" s="411" t="s">
        <v>51</v>
      </c>
      <c r="BB20" s="412"/>
      <c r="BC20" s="412"/>
      <c r="BD20" s="412"/>
      <c r="BE20" s="413"/>
      <c r="BF20" s="95"/>
      <c r="BG20" s="94"/>
      <c r="BH20" s="481" t="s">
        <v>52</v>
      </c>
      <c r="BI20" s="482"/>
      <c r="BJ20" s="482"/>
      <c r="BK20" s="482"/>
      <c r="BL20" s="483"/>
      <c r="BM20" s="95"/>
      <c r="BN20" s="94"/>
      <c r="BT20" s="95"/>
      <c r="BU20" s="94"/>
      <c r="BV20" s="95"/>
      <c r="BW20" s="95"/>
      <c r="BX20" s="95"/>
      <c r="BY20" s="95"/>
      <c r="BZ20" s="95"/>
      <c r="CA20" s="95"/>
      <c r="CB20" s="94"/>
      <c r="CH20" s="95"/>
      <c r="CI20" s="95"/>
      <c r="CJ20" s="464"/>
      <c r="CK20" s="464"/>
      <c r="CL20" s="464"/>
      <c r="CM20" s="464"/>
      <c r="CN20" s="464"/>
    </row>
    <row r="21" spans="3:94" s="91" customFormat="1" ht="8.1">
      <c r="C21" s="94"/>
      <c r="D21" s="411">
        <v>1</v>
      </c>
      <c r="E21" s="412"/>
      <c r="F21" s="98"/>
      <c r="G21" s="98"/>
      <c r="H21" s="99"/>
      <c r="J21" s="94"/>
      <c r="Q21" s="94"/>
      <c r="R21" s="484">
        <v>3</v>
      </c>
      <c r="S21" s="485"/>
      <c r="T21" s="129"/>
      <c r="U21" s="129"/>
      <c r="V21" s="130"/>
      <c r="X21" s="94"/>
      <c r="Y21" s="444"/>
      <c r="Z21" s="445"/>
      <c r="AA21" s="338"/>
      <c r="AB21" s="338"/>
      <c r="AC21" s="339"/>
      <c r="AE21" s="94"/>
      <c r="AF21" s="453">
        <v>3</v>
      </c>
      <c r="AG21" s="454"/>
      <c r="AH21" s="149"/>
      <c r="AI21" s="149"/>
      <c r="AJ21" s="150"/>
      <c r="AK21" s="95"/>
      <c r="AL21" s="94"/>
      <c r="AM21" s="411">
        <v>3</v>
      </c>
      <c r="AN21" s="412"/>
      <c r="AO21" s="98"/>
      <c r="AP21" s="98"/>
      <c r="AQ21" s="99"/>
      <c r="AR21" s="95"/>
      <c r="AS21" s="94"/>
      <c r="AT21" s="411">
        <v>3</v>
      </c>
      <c r="AU21" s="412"/>
      <c r="AV21" s="98"/>
      <c r="AW21" s="98"/>
      <c r="AX21" s="99"/>
      <c r="AY21" s="95"/>
      <c r="AZ21" s="94"/>
      <c r="BA21" s="411">
        <v>3</v>
      </c>
      <c r="BB21" s="412"/>
      <c r="BC21" s="98"/>
      <c r="BD21" s="98"/>
      <c r="BE21" s="99"/>
      <c r="BF21" s="95"/>
      <c r="BG21" s="94"/>
      <c r="BH21" s="481"/>
      <c r="BI21" s="482"/>
      <c r="BJ21" s="137"/>
      <c r="BK21" s="137"/>
      <c r="BL21" s="138"/>
      <c r="BM21" s="95"/>
      <c r="BN21" s="94"/>
      <c r="BT21" s="95"/>
      <c r="BU21" s="94"/>
      <c r="BV21" s="95"/>
      <c r="BW21" s="95"/>
      <c r="BX21" s="95"/>
      <c r="BY21" s="95"/>
      <c r="BZ21" s="95"/>
      <c r="CA21" s="95"/>
      <c r="CB21" s="94"/>
      <c r="CH21" s="95"/>
      <c r="CI21" s="95"/>
      <c r="CJ21" s="464"/>
      <c r="CK21" s="464"/>
    </row>
    <row r="22" spans="3:94" s="91" customFormat="1" ht="8.1">
      <c r="C22" s="94"/>
      <c r="D22" s="421"/>
      <c r="E22" s="422"/>
      <c r="F22" s="102"/>
      <c r="G22" s="102"/>
      <c r="H22" s="103"/>
      <c r="J22" s="94"/>
      <c r="Q22" s="94"/>
      <c r="R22" s="515"/>
      <c r="S22" s="516"/>
      <c r="T22" s="131"/>
      <c r="U22" s="131"/>
      <c r="V22" s="132"/>
      <c r="X22" s="94"/>
      <c r="Y22" s="517">
        <v>1</v>
      </c>
      <c r="Z22" s="518"/>
      <c r="AA22" s="340"/>
      <c r="AB22" s="340"/>
      <c r="AC22" s="341"/>
      <c r="AE22" s="94"/>
      <c r="AF22" s="486"/>
      <c r="AG22" s="487"/>
      <c r="AH22" s="151"/>
      <c r="AI22" s="151"/>
      <c r="AJ22" s="152"/>
      <c r="AK22" s="95"/>
      <c r="AL22" s="94"/>
      <c r="AM22" s="421"/>
      <c r="AN22" s="422"/>
      <c r="AO22" s="102"/>
      <c r="AP22" s="102"/>
      <c r="AQ22" s="103"/>
      <c r="AR22" s="95"/>
      <c r="AS22" s="94"/>
      <c r="AT22" s="421">
        <v>1</v>
      </c>
      <c r="AU22" s="422"/>
      <c r="AV22" s="102"/>
      <c r="AW22" s="102"/>
      <c r="AX22" s="103"/>
      <c r="AY22" s="95"/>
      <c r="AZ22" s="94"/>
      <c r="BA22" s="421">
        <v>1</v>
      </c>
      <c r="BB22" s="422"/>
      <c r="BC22" s="102"/>
      <c r="BD22" s="102"/>
      <c r="BE22" s="103"/>
      <c r="BF22" s="95"/>
      <c r="BG22" s="94"/>
      <c r="BH22" s="473">
        <v>2</v>
      </c>
      <c r="BI22" s="474"/>
      <c r="BJ22" s="139"/>
      <c r="BK22" s="139"/>
      <c r="BL22" s="140"/>
      <c r="BM22" s="95"/>
      <c r="BN22" s="94"/>
      <c r="BT22" s="95"/>
      <c r="BU22" s="94"/>
      <c r="BV22" s="95"/>
      <c r="BW22" s="95"/>
      <c r="BX22" s="95"/>
      <c r="BY22" s="95"/>
      <c r="BZ22" s="95"/>
      <c r="CA22" s="95"/>
      <c r="CB22" s="94"/>
      <c r="CH22" s="95"/>
      <c r="CI22" s="95"/>
      <c r="CJ22" s="464"/>
      <c r="CK22" s="464"/>
    </row>
    <row r="23" spans="3:94" s="91" customFormat="1" ht="8.1">
      <c r="C23" s="94"/>
      <c r="J23" s="94"/>
      <c r="Q23" s="94"/>
      <c r="X23" s="94"/>
      <c r="AE23" s="94"/>
      <c r="AF23" s="95"/>
      <c r="AG23" s="95"/>
      <c r="AH23" s="95"/>
      <c r="AI23" s="95"/>
      <c r="AJ23" s="95"/>
      <c r="AK23" s="95"/>
      <c r="AL23" s="94"/>
      <c r="AM23" s="95"/>
      <c r="AN23" s="95"/>
      <c r="AO23" s="95"/>
      <c r="AP23" s="95"/>
      <c r="AQ23" s="95"/>
      <c r="AR23" s="95"/>
      <c r="AS23" s="94"/>
      <c r="AT23" s="95"/>
      <c r="AU23" s="95"/>
      <c r="AV23" s="95"/>
      <c r="AW23" s="95"/>
      <c r="AX23" s="95"/>
      <c r="AY23" s="95"/>
      <c r="AZ23" s="94"/>
      <c r="BA23" s="95"/>
      <c r="BB23" s="95"/>
      <c r="BC23" s="95"/>
      <c r="BD23" s="95"/>
      <c r="BE23" s="95"/>
      <c r="BF23" s="95"/>
      <c r="BG23" s="94"/>
      <c r="BH23" s="95"/>
      <c r="BI23" s="95"/>
      <c r="BJ23" s="95"/>
      <c r="BK23" s="95"/>
      <c r="BL23" s="95"/>
      <c r="BM23" s="95"/>
      <c r="BN23" s="94"/>
      <c r="BO23" s="95"/>
      <c r="BP23" s="95"/>
      <c r="BQ23" s="95"/>
      <c r="BR23" s="95"/>
      <c r="BS23" s="95"/>
      <c r="BT23" s="95"/>
      <c r="BU23" s="94"/>
      <c r="BV23" s="95"/>
      <c r="BW23" s="95"/>
      <c r="BX23" s="95"/>
      <c r="BY23" s="95"/>
      <c r="BZ23" s="95"/>
      <c r="CA23" s="95"/>
      <c r="CB23" s="95"/>
      <c r="CC23" s="95"/>
      <c r="CD23" s="95"/>
      <c r="CE23" s="95"/>
      <c r="CF23" s="95"/>
      <c r="CG23" s="95"/>
      <c r="CH23" s="95"/>
      <c r="CI23" s="95"/>
    </row>
    <row r="24" spans="3:94" s="91" customFormat="1" ht="8.1">
      <c r="C24" s="94"/>
      <c r="D24" s="423"/>
      <c r="E24" s="424"/>
      <c r="F24" s="424"/>
      <c r="G24" s="424"/>
      <c r="H24" s="425"/>
      <c r="J24" s="94" t="s">
        <v>53</v>
      </c>
      <c r="K24" s="423"/>
      <c r="L24" s="424"/>
      <c r="M24" s="424"/>
      <c r="N24" s="424"/>
      <c r="O24" s="425"/>
      <c r="Q24" s="94" t="s">
        <v>31</v>
      </c>
      <c r="R24" s="423"/>
      <c r="S24" s="424"/>
      <c r="T24" s="424"/>
      <c r="U24" s="424"/>
      <c r="V24" s="425"/>
      <c r="X24" s="94" t="s">
        <v>53</v>
      </c>
      <c r="Y24" s="423"/>
      <c r="Z24" s="424"/>
      <c r="AA24" s="424"/>
      <c r="AB24" s="424"/>
      <c r="AC24" s="425"/>
      <c r="AE24" s="94" t="s">
        <v>33</v>
      </c>
      <c r="AF24" s="492"/>
      <c r="AG24" s="493"/>
      <c r="AH24" s="493"/>
      <c r="AI24" s="493"/>
      <c r="AJ24" s="494"/>
      <c r="AK24" s="95"/>
      <c r="AL24" s="94"/>
      <c r="AM24" s="423"/>
      <c r="AN24" s="424"/>
      <c r="AO24" s="424"/>
      <c r="AP24" s="424"/>
      <c r="AQ24" s="425"/>
      <c r="AR24" s="95"/>
      <c r="AS24" s="94"/>
      <c r="AT24" s="423"/>
      <c r="AU24" s="424"/>
      <c r="AV24" s="424"/>
      <c r="AW24" s="424"/>
      <c r="AX24" s="425"/>
      <c r="AY24" s="95"/>
      <c r="AZ24" s="94" t="s">
        <v>32</v>
      </c>
      <c r="BA24" s="423"/>
      <c r="BB24" s="424"/>
      <c r="BC24" s="424"/>
      <c r="BD24" s="424"/>
      <c r="BE24" s="425"/>
      <c r="BF24" s="95"/>
      <c r="BG24" s="94" t="s">
        <v>32</v>
      </c>
      <c r="BH24" s="423"/>
      <c r="BI24" s="424"/>
      <c r="BJ24" s="424"/>
      <c r="BK24" s="424"/>
      <c r="BL24" s="425"/>
      <c r="BM24" s="95"/>
      <c r="BN24" s="94"/>
      <c r="BT24" s="95"/>
      <c r="BU24" s="94" t="s">
        <v>32</v>
      </c>
      <c r="BV24" s="95"/>
      <c r="BW24" s="95"/>
      <c r="BX24" s="95"/>
      <c r="BY24" s="95"/>
      <c r="BZ24" s="95"/>
      <c r="CA24" s="95"/>
      <c r="CB24" s="94" t="s">
        <v>19</v>
      </c>
      <c r="CC24" s="95"/>
      <c r="CD24" s="95"/>
      <c r="CE24" s="95"/>
      <c r="CF24" s="95"/>
      <c r="CG24" s="95"/>
      <c r="CH24" s="95"/>
      <c r="CI24" s="95"/>
    </row>
    <row r="25" spans="3:94" s="91" customFormat="1" ht="8.1">
      <c r="C25" s="94"/>
      <c r="D25" s="411" t="s">
        <v>54</v>
      </c>
      <c r="E25" s="412"/>
      <c r="F25" s="412"/>
      <c r="G25" s="412"/>
      <c r="H25" s="413"/>
      <c r="J25" s="94"/>
      <c r="K25" s="411" t="s">
        <v>55</v>
      </c>
      <c r="L25" s="412"/>
      <c r="M25" s="412"/>
      <c r="N25" s="412"/>
      <c r="O25" s="413"/>
      <c r="Q25" s="94"/>
      <c r="R25" s="411" t="s">
        <v>56</v>
      </c>
      <c r="S25" s="412"/>
      <c r="T25" s="412"/>
      <c r="U25" s="412"/>
      <c r="V25" s="413"/>
      <c r="X25" s="94"/>
      <c r="Y25" s="411" t="s">
        <v>57</v>
      </c>
      <c r="Z25" s="412"/>
      <c r="AA25" s="412"/>
      <c r="AB25" s="412"/>
      <c r="AC25" s="413"/>
      <c r="AE25" s="94"/>
      <c r="AF25" s="453" t="s">
        <v>58</v>
      </c>
      <c r="AG25" s="454"/>
      <c r="AH25" s="454"/>
      <c r="AI25" s="454"/>
      <c r="AJ25" s="488"/>
      <c r="AK25" s="95"/>
      <c r="AL25" s="94"/>
      <c r="AM25" s="411" t="s">
        <v>59</v>
      </c>
      <c r="AN25" s="412"/>
      <c r="AO25" s="412"/>
      <c r="AP25" s="412"/>
      <c r="AQ25" s="413"/>
      <c r="AR25" s="95"/>
      <c r="AS25" s="94"/>
      <c r="AT25" s="411" t="s">
        <v>60</v>
      </c>
      <c r="AU25" s="412"/>
      <c r="AV25" s="412"/>
      <c r="AW25" s="412"/>
      <c r="AX25" s="413"/>
      <c r="AY25" s="95"/>
      <c r="AZ25" s="94"/>
      <c r="BA25" s="411" t="s">
        <v>61</v>
      </c>
      <c r="BB25" s="412"/>
      <c r="BC25" s="412"/>
      <c r="BD25" s="412"/>
      <c r="BE25" s="413"/>
      <c r="BG25" s="95"/>
      <c r="BH25" s="411" t="s">
        <v>62</v>
      </c>
      <c r="BI25" s="412"/>
      <c r="BJ25" s="412"/>
      <c r="BK25" s="412"/>
      <c r="BL25" s="413"/>
      <c r="BM25" s="95"/>
      <c r="BN25" s="94"/>
      <c r="BT25" s="95"/>
      <c r="BU25" s="94"/>
      <c r="BV25" s="95"/>
      <c r="BW25" s="95"/>
      <c r="BX25" s="95"/>
      <c r="BY25" s="95"/>
      <c r="BZ25" s="95"/>
      <c r="CA25" s="95"/>
      <c r="CB25" s="94"/>
      <c r="CC25" s="95"/>
      <c r="CD25" s="95"/>
      <c r="CE25" s="95"/>
      <c r="CF25" s="95"/>
      <c r="CG25" s="95"/>
      <c r="CH25" s="95"/>
      <c r="CI25" s="95"/>
    </row>
    <row r="26" spans="3:94" s="91" customFormat="1" ht="8.1">
      <c r="C26" s="94"/>
      <c r="D26" s="411"/>
      <c r="E26" s="412"/>
      <c r="F26" s="98"/>
      <c r="G26" s="98"/>
      <c r="H26" s="99"/>
      <c r="J26" s="94"/>
      <c r="K26" s="411"/>
      <c r="L26" s="412"/>
      <c r="M26" s="98"/>
      <c r="N26" s="98"/>
      <c r="O26" s="99"/>
      <c r="Q26" s="94"/>
      <c r="R26" s="411"/>
      <c r="S26" s="412"/>
      <c r="T26" s="98"/>
      <c r="U26" s="98"/>
      <c r="V26" s="99"/>
      <c r="X26" s="94"/>
      <c r="Y26" s="411">
        <v>3</v>
      </c>
      <c r="Z26" s="412"/>
      <c r="AA26" s="98"/>
      <c r="AB26" s="98"/>
      <c r="AC26" s="99"/>
      <c r="AE26" s="94"/>
      <c r="AF26" s="453">
        <v>3</v>
      </c>
      <c r="AG26" s="454"/>
      <c r="AH26" s="149"/>
      <c r="AI26" s="149"/>
      <c r="AJ26" s="150"/>
      <c r="AK26" s="95"/>
      <c r="AL26" s="94"/>
      <c r="AM26" s="411">
        <v>3</v>
      </c>
      <c r="AN26" s="412"/>
      <c r="AO26" s="98"/>
      <c r="AP26" s="98"/>
      <c r="AQ26" s="99"/>
      <c r="AR26" s="95"/>
      <c r="AS26" s="94"/>
      <c r="AT26" s="411">
        <v>2</v>
      </c>
      <c r="AU26" s="412"/>
      <c r="AV26" s="98"/>
      <c r="AW26" s="98"/>
      <c r="AX26" s="99"/>
      <c r="AY26" s="95"/>
      <c r="AZ26" s="94"/>
      <c r="BA26" s="411"/>
      <c r="BB26" s="412"/>
      <c r="BC26" s="98"/>
      <c r="BD26" s="98"/>
      <c r="BE26" s="99"/>
      <c r="BF26" s="95"/>
      <c r="BG26" s="94"/>
      <c r="BH26" s="411">
        <v>3</v>
      </c>
      <c r="BI26" s="412"/>
      <c r="BJ26" s="98"/>
      <c r="BK26" s="98"/>
      <c r="BL26" s="99"/>
      <c r="BY26" s="95"/>
      <c r="BZ26" s="95"/>
      <c r="CA26" s="95"/>
      <c r="CB26" s="94"/>
      <c r="CC26" s="95"/>
      <c r="CD26" s="95"/>
      <c r="CE26" s="95"/>
      <c r="CF26" s="95"/>
      <c r="CG26" s="95"/>
      <c r="CH26" s="95"/>
      <c r="CI26" s="95"/>
    </row>
    <row r="27" spans="3:94" s="91" customFormat="1" ht="8.1">
      <c r="C27" s="94"/>
      <c r="D27" s="421">
        <v>2</v>
      </c>
      <c r="E27" s="422"/>
      <c r="F27" s="102"/>
      <c r="G27" s="102"/>
      <c r="H27" s="103"/>
      <c r="J27" s="94"/>
      <c r="K27" s="421">
        <v>2</v>
      </c>
      <c r="L27" s="422"/>
      <c r="M27" s="102"/>
      <c r="N27" s="102"/>
      <c r="O27" s="103"/>
      <c r="Q27" s="94"/>
      <c r="R27" s="421">
        <v>2</v>
      </c>
      <c r="S27" s="422"/>
      <c r="T27" s="102"/>
      <c r="U27" s="102"/>
      <c r="V27" s="103"/>
      <c r="X27" s="94"/>
      <c r="Y27" s="421"/>
      <c r="Z27" s="422"/>
      <c r="AA27" s="102"/>
      <c r="AB27" s="102"/>
      <c r="AC27" s="103"/>
      <c r="AE27" s="94"/>
      <c r="AF27" s="486"/>
      <c r="AG27" s="487"/>
      <c r="AH27" s="151"/>
      <c r="AI27" s="151"/>
      <c r="AJ27" s="152"/>
      <c r="AK27" s="95"/>
      <c r="AL27" s="94"/>
      <c r="AM27" s="421">
        <v>1</v>
      </c>
      <c r="AN27" s="422"/>
      <c r="AO27" s="102"/>
      <c r="AP27" s="102"/>
      <c r="AQ27" s="103"/>
      <c r="AR27" s="95"/>
      <c r="AS27" s="94"/>
      <c r="AT27" s="421"/>
      <c r="AU27" s="422"/>
      <c r="AV27" s="102"/>
      <c r="AW27" s="102"/>
      <c r="AX27" s="103"/>
      <c r="AY27" s="95"/>
      <c r="AZ27" s="94"/>
      <c r="BA27" s="421">
        <v>1</v>
      </c>
      <c r="BB27" s="422"/>
      <c r="BC27" s="102"/>
      <c r="BD27" s="102"/>
      <c r="BE27" s="103"/>
      <c r="BF27" s="95"/>
      <c r="BG27" s="94"/>
      <c r="BH27" s="421"/>
      <c r="BI27" s="422"/>
      <c r="BJ27" s="102"/>
      <c r="BK27" s="102"/>
      <c r="BL27" s="103"/>
      <c r="BY27" s="95"/>
      <c r="BZ27" s="95"/>
      <c r="CA27" s="95"/>
      <c r="CB27" s="94"/>
      <c r="CC27" s="95"/>
      <c r="CD27" s="95"/>
      <c r="CE27" s="95"/>
      <c r="CF27" s="95"/>
      <c r="CG27" s="95"/>
      <c r="CH27" s="95"/>
      <c r="CI27" s="95"/>
    </row>
    <row r="28" spans="3:94" s="91" customFormat="1" ht="8.1">
      <c r="C28" s="94"/>
      <c r="J28" s="94"/>
      <c r="Q28" s="94"/>
      <c r="X28" s="94"/>
      <c r="AE28" s="94"/>
      <c r="AF28" s="95"/>
      <c r="AG28" s="95"/>
      <c r="AH28" s="95"/>
      <c r="AI28" s="95"/>
      <c r="AJ28" s="95"/>
      <c r="AK28" s="95"/>
      <c r="AL28" s="94"/>
      <c r="AM28" s="95"/>
      <c r="AN28" s="95"/>
      <c r="AO28" s="95"/>
      <c r="AP28" s="95"/>
      <c r="AQ28" s="95"/>
      <c r="AR28" s="95"/>
      <c r="AS28" s="94"/>
      <c r="AT28" s="95"/>
      <c r="AU28" s="95"/>
      <c r="AV28" s="95"/>
      <c r="AW28" s="95"/>
      <c r="AX28" s="95"/>
      <c r="AY28" s="95"/>
      <c r="AZ28" s="94"/>
      <c r="BF28" s="95"/>
      <c r="BG28" s="94"/>
      <c r="BH28" s="95"/>
      <c r="BI28" s="95"/>
      <c r="BJ28" s="95"/>
      <c r="BY28" s="95"/>
      <c r="BZ28" s="95"/>
      <c r="CA28" s="95"/>
      <c r="CB28" s="95"/>
      <c r="CC28" s="95"/>
      <c r="CD28" s="95"/>
      <c r="CE28" s="95"/>
      <c r="CF28" s="95"/>
      <c r="CG28" s="95"/>
      <c r="CH28" s="95"/>
      <c r="CI28" s="95"/>
    </row>
    <row r="29" spans="3:94" s="91" customFormat="1" ht="8.1">
      <c r="C29" s="94" t="s">
        <v>63</v>
      </c>
      <c r="D29" s="492"/>
      <c r="E29" s="493"/>
      <c r="F29" s="493"/>
      <c r="G29" s="493"/>
      <c r="H29" s="494"/>
      <c r="J29" s="94" t="s">
        <v>63</v>
      </c>
      <c r="K29" s="492"/>
      <c r="L29" s="493"/>
      <c r="M29" s="493"/>
      <c r="N29" s="493"/>
      <c r="O29" s="494"/>
      <c r="P29" s="94"/>
      <c r="Q29" s="94" t="s">
        <v>31</v>
      </c>
      <c r="X29" s="94" t="s">
        <v>64</v>
      </c>
      <c r="Y29" s="447"/>
      <c r="Z29" s="448"/>
      <c r="AA29" s="448"/>
      <c r="AB29" s="448"/>
      <c r="AC29" s="449"/>
      <c r="AE29" s="94"/>
      <c r="AF29" s="447"/>
      <c r="AG29" s="448"/>
      <c r="AH29" s="448"/>
      <c r="AI29" s="448"/>
      <c r="AJ29" s="449"/>
      <c r="AK29" s="95"/>
      <c r="AL29" s="94" t="s">
        <v>31</v>
      </c>
      <c r="AM29" s="423"/>
      <c r="AN29" s="424"/>
      <c r="AO29" s="424"/>
      <c r="AP29" s="424"/>
      <c r="AQ29" s="425"/>
      <c r="AR29" s="95"/>
      <c r="AS29" s="94"/>
      <c r="AT29" s="423"/>
      <c r="AU29" s="424"/>
      <c r="AV29" s="424"/>
      <c r="AW29" s="424"/>
      <c r="AX29" s="425"/>
      <c r="AY29" s="95"/>
      <c r="AZ29" s="94"/>
      <c r="BA29" s="503"/>
      <c r="BB29" s="504"/>
      <c r="BC29" s="504"/>
      <c r="BD29" s="504"/>
      <c r="BE29" s="505"/>
      <c r="BF29" s="95"/>
      <c r="BG29" s="94" t="s">
        <v>32</v>
      </c>
      <c r="BH29" s="537"/>
      <c r="BI29" s="538"/>
      <c r="BJ29" s="538"/>
      <c r="BK29" s="538"/>
      <c r="BL29" s="539"/>
      <c r="BM29" s="92"/>
      <c r="BN29" s="92"/>
      <c r="BY29" s="95"/>
      <c r="BZ29" s="95"/>
      <c r="CA29" s="95"/>
      <c r="CB29" s="95"/>
      <c r="CC29" s="95"/>
      <c r="CD29" s="95"/>
      <c r="CE29" s="95"/>
      <c r="CF29" s="94"/>
      <c r="CG29" s="95"/>
      <c r="CH29" s="95"/>
      <c r="CI29" s="95"/>
      <c r="CJ29" s="95"/>
      <c r="CK29" s="95"/>
      <c r="CL29" s="95"/>
      <c r="CM29" s="94"/>
      <c r="CN29" s="95"/>
      <c r="CO29" s="95"/>
      <c r="CP29" s="95"/>
    </row>
    <row r="30" spans="3:94" s="91" customFormat="1" ht="8.1">
      <c r="C30" s="94"/>
      <c r="D30" s="453" t="s">
        <v>65</v>
      </c>
      <c r="E30" s="454"/>
      <c r="F30" s="454"/>
      <c r="G30" s="454"/>
      <c r="H30" s="488"/>
      <c r="J30" s="94"/>
      <c r="K30" s="453" t="s">
        <v>66</v>
      </c>
      <c r="L30" s="454"/>
      <c r="M30" s="454"/>
      <c r="N30" s="454"/>
      <c r="O30" s="488"/>
      <c r="X30" s="94"/>
      <c r="Y30" s="444" t="s">
        <v>67</v>
      </c>
      <c r="Z30" s="445"/>
      <c r="AA30" s="445"/>
      <c r="AB30" s="445"/>
      <c r="AC30" s="446"/>
      <c r="AE30" s="94"/>
      <c r="AF30" s="444" t="s">
        <v>68</v>
      </c>
      <c r="AG30" s="445"/>
      <c r="AH30" s="445"/>
      <c r="AI30" s="445"/>
      <c r="AJ30" s="446"/>
      <c r="AK30" s="95"/>
      <c r="AL30" s="94"/>
      <c r="AM30" s="411" t="s">
        <v>69</v>
      </c>
      <c r="AN30" s="412"/>
      <c r="AO30" s="412"/>
      <c r="AP30" s="412"/>
      <c r="AQ30" s="413"/>
      <c r="AR30" s="95"/>
      <c r="AS30" s="94"/>
      <c r="AT30" s="411" t="s">
        <v>70</v>
      </c>
      <c r="AU30" s="412"/>
      <c r="AV30" s="412"/>
      <c r="AW30" s="412"/>
      <c r="AX30" s="413"/>
      <c r="AY30" s="95"/>
      <c r="AZ30" s="94"/>
      <c r="BA30" s="484" t="s">
        <v>71</v>
      </c>
      <c r="BB30" s="485"/>
      <c r="BC30" s="485"/>
      <c r="BD30" s="485"/>
      <c r="BE30" s="506"/>
      <c r="BF30" s="95"/>
      <c r="BG30" s="94"/>
      <c r="BH30" s="530" t="s">
        <v>72</v>
      </c>
      <c r="BI30" s="531"/>
      <c r="BJ30" s="531"/>
      <c r="BK30" s="531"/>
      <c r="BL30" s="535"/>
      <c r="BM30" s="92"/>
      <c r="BN30" s="92"/>
      <c r="BY30" s="95"/>
      <c r="BZ30" s="95"/>
      <c r="CA30" s="104"/>
      <c r="CP30" s="95"/>
    </row>
    <row r="31" spans="3:94" s="91" customFormat="1" ht="12" customHeight="1">
      <c r="C31" s="94"/>
      <c r="D31" s="453">
        <v>3</v>
      </c>
      <c r="E31" s="454"/>
      <c r="F31" s="149"/>
      <c r="G31" s="149"/>
      <c r="H31" s="150"/>
      <c r="J31" s="94"/>
      <c r="K31" s="453">
        <v>3</v>
      </c>
      <c r="L31" s="454"/>
      <c r="M31" s="149"/>
      <c r="N31" s="149"/>
      <c r="O31" s="150"/>
      <c r="Q31" s="94"/>
      <c r="X31" s="94"/>
      <c r="Y31" s="444"/>
      <c r="Z31" s="445"/>
      <c r="AA31" s="338"/>
      <c r="AB31" s="338"/>
      <c r="AC31" s="339"/>
      <c r="AE31" s="94"/>
      <c r="AF31" s="444"/>
      <c r="AG31" s="445"/>
      <c r="AH31" s="338"/>
      <c r="AI31" s="338"/>
      <c r="AJ31" s="339"/>
      <c r="AK31" s="95"/>
      <c r="AL31" s="94"/>
      <c r="AM31" s="411">
        <v>3</v>
      </c>
      <c r="AN31" s="412"/>
      <c r="AO31" s="98"/>
      <c r="AP31" s="98"/>
      <c r="AQ31" s="99"/>
      <c r="AR31" s="95"/>
      <c r="AS31" s="94"/>
      <c r="AT31" s="411"/>
      <c r="AU31" s="412"/>
      <c r="AV31" s="98"/>
      <c r="AW31" s="98"/>
      <c r="AX31" s="99"/>
      <c r="AY31" s="95"/>
      <c r="AZ31" s="94"/>
      <c r="BA31" s="484">
        <v>3</v>
      </c>
      <c r="BB31" s="485"/>
      <c r="BC31" s="129"/>
      <c r="BD31" s="129"/>
      <c r="BE31" s="130"/>
      <c r="BF31" s="95"/>
      <c r="BG31" s="94"/>
      <c r="BH31" s="530">
        <v>3</v>
      </c>
      <c r="BI31" s="531"/>
      <c r="BJ31" s="105"/>
      <c r="BK31" s="105"/>
      <c r="BL31" s="106"/>
      <c r="BM31" s="92"/>
      <c r="BN31" s="92"/>
      <c r="BY31" s="95"/>
      <c r="BZ31" s="95"/>
      <c r="CA31" s="95"/>
      <c r="CP31" s="95"/>
    </row>
    <row r="32" spans="3:94" s="91" customFormat="1" ht="8.1">
      <c r="C32" s="94"/>
      <c r="D32" s="486"/>
      <c r="E32" s="487"/>
      <c r="F32" s="151"/>
      <c r="G32" s="151"/>
      <c r="H32" s="152"/>
      <c r="J32" s="94"/>
      <c r="K32" s="486"/>
      <c r="L32" s="487"/>
      <c r="M32" s="151"/>
      <c r="N32" s="151"/>
      <c r="O32" s="152"/>
      <c r="Q32" s="94"/>
      <c r="X32" s="94"/>
      <c r="Y32" s="517">
        <v>1</v>
      </c>
      <c r="Z32" s="518"/>
      <c r="AA32" s="340"/>
      <c r="AB32" s="340"/>
      <c r="AC32" s="341"/>
      <c r="AE32" s="94"/>
      <c r="AF32" s="517">
        <v>1</v>
      </c>
      <c r="AG32" s="518"/>
      <c r="AH32" s="340"/>
      <c r="AI32" s="340"/>
      <c r="AJ32" s="341"/>
      <c r="AK32" s="95"/>
      <c r="AL32" s="94"/>
      <c r="AM32" s="421">
        <v>1</v>
      </c>
      <c r="AN32" s="422"/>
      <c r="AO32" s="102"/>
      <c r="AP32" s="102"/>
      <c r="AQ32" s="103"/>
      <c r="AR32" s="95"/>
      <c r="AS32" s="94"/>
      <c r="AT32" s="421">
        <v>1</v>
      </c>
      <c r="AU32" s="422"/>
      <c r="AV32" s="102"/>
      <c r="AW32" s="102"/>
      <c r="AX32" s="103"/>
      <c r="AY32" s="95"/>
      <c r="AZ32" s="94"/>
      <c r="BA32" s="515"/>
      <c r="BB32" s="516"/>
      <c r="BC32" s="131"/>
      <c r="BD32" s="131"/>
      <c r="BE32" s="132"/>
      <c r="BF32" s="95"/>
      <c r="BG32" s="94"/>
      <c r="BH32" s="528"/>
      <c r="BI32" s="529"/>
      <c r="BJ32" s="107"/>
      <c r="BK32" s="107"/>
      <c r="BL32" s="108"/>
      <c r="BM32" s="92"/>
      <c r="BN32" s="92"/>
      <c r="BY32" s="95"/>
      <c r="BZ32" s="95"/>
      <c r="CA32" s="95"/>
      <c r="CP32" s="95"/>
    </row>
    <row r="33" spans="3:108" s="91" customFormat="1" ht="8.1">
      <c r="C33" s="94"/>
      <c r="J33" s="94"/>
      <c r="Q33" s="94"/>
      <c r="X33" s="94"/>
      <c r="AE33" s="94"/>
      <c r="AF33" s="95"/>
      <c r="AG33" s="95"/>
      <c r="AH33" s="95"/>
      <c r="AI33" s="95"/>
      <c r="AJ33" s="95"/>
      <c r="AK33" s="95"/>
      <c r="AL33" s="94"/>
      <c r="AM33" s="95"/>
      <c r="AN33" s="95"/>
      <c r="AO33" s="95"/>
      <c r="AP33" s="95"/>
      <c r="AQ33" s="95"/>
      <c r="AR33" s="95"/>
      <c r="AS33" s="94"/>
      <c r="AT33" s="95"/>
      <c r="AU33" s="95"/>
      <c r="AV33" s="95"/>
      <c r="AW33" s="95"/>
      <c r="AX33" s="95"/>
      <c r="AY33" s="95"/>
      <c r="AZ33" s="94"/>
      <c r="BA33" s="95"/>
      <c r="BB33" s="95"/>
      <c r="BC33" s="95"/>
      <c r="BD33" s="95"/>
      <c r="BE33" s="95"/>
      <c r="BF33" s="95"/>
      <c r="BG33" s="94"/>
      <c r="BH33" s="95"/>
      <c r="BI33" s="95"/>
      <c r="BJ33" s="95"/>
      <c r="BM33" s="92"/>
      <c r="BN33" s="92"/>
      <c r="BY33" s="95"/>
      <c r="BZ33" s="95"/>
      <c r="CA33" s="95"/>
      <c r="CB33" s="92"/>
      <c r="CC33" s="92"/>
      <c r="CD33" s="92"/>
      <c r="CE33" s="92"/>
      <c r="CF33" s="92"/>
      <c r="CG33" s="92"/>
      <c r="CH33" s="92"/>
      <c r="CI33" s="92"/>
      <c r="CJ33" s="92"/>
      <c r="CL33" s="92"/>
      <c r="CM33" s="92"/>
      <c r="CN33" s="92"/>
      <c r="CO33" s="92"/>
    </row>
    <row r="34" spans="3:108" s="91" customFormat="1" ht="10.5" customHeight="1" thickBot="1">
      <c r="C34" s="94" t="s">
        <v>19</v>
      </c>
      <c r="D34" s="495"/>
      <c r="E34" s="496"/>
      <c r="F34" s="496"/>
      <c r="G34" s="496"/>
      <c r="H34" s="497"/>
      <c r="J34" s="94" t="s">
        <v>19</v>
      </c>
      <c r="K34" s="495"/>
      <c r="L34" s="496"/>
      <c r="M34" s="496"/>
      <c r="N34" s="496"/>
      <c r="O34" s="497"/>
      <c r="Q34" s="94" t="s">
        <v>19</v>
      </c>
      <c r="R34" s="495"/>
      <c r="S34" s="496"/>
      <c r="T34" s="496"/>
      <c r="U34" s="496"/>
      <c r="V34" s="497"/>
      <c r="X34" s="94" t="s">
        <v>32</v>
      </c>
      <c r="Y34" s="495"/>
      <c r="Z34" s="496"/>
      <c r="AA34" s="496"/>
      <c r="AB34" s="496"/>
      <c r="AC34" s="497"/>
      <c r="AE34" s="94" t="s">
        <v>32</v>
      </c>
      <c r="AF34" s="521"/>
      <c r="AG34" s="522"/>
      <c r="AH34" s="522"/>
      <c r="AI34" s="522"/>
      <c r="AJ34" s="523"/>
      <c r="AM34" s="492"/>
      <c r="AN34" s="493"/>
      <c r="AO34" s="493"/>
      <c r="AP34" s="493"/>
      <c r="AQ34" s="494"/>
      <c r="AR34" s="95"/>
      <c r="AS34" s="94" t="s">
        <v>19</v>
      </c>
      <c r="AT34" s="330"/>
      <c r="AU34" s="331"/>
      <c r="AV34" s="331"/>
      <c r="AW34" s="331"/>
      <c r="AX34" s="332"/>
      <c r="AY34" s="95"/>
      <c r="AZ34" s="94" t="s">
        <v>32</v>
      </c>
      <c r="BA34" s="475"/>
      <c r="BB34" s="476"/>
      <c r="BC34" s="476"/>
      <c r="BD34" s="476"/>
      <c r="BE34" s="477"/>
      <c r="BH34" s="475"/>
      <c r="BI34" s="476"/>
      <c r="BJ34" s="476"/>
      <c r="BK34" s="476"/>
      <c r="BL34" s="477"/>
      <c r="BM34" s="92"/>
      <c r="BN34" s="92"/>
      <c r="BY34" s="95"/>
      <c r="BZ34" s="95"/>
      <c r="CA34" s="95"/>
      <c r="CB34" s="92"/>
      <c r="CC34" s="92"/>
      <c r="CD34" s="92"/>
      <c r="CE34" s="92"/>
      <c r="CF34" s="92"/>
      <c r="CG34" s="92"/>
      <c r="CH34" s="92"/>
      <c r="CI34" s="92"/>
      <c r="CJ34" s="92"/>
      <c r="CL34" s="92"/>
      <c r="CM34" s="92"/>
      <c r="CN34" s="92"/>
      <c r="CO34" s="92"/>
    </row>
    <row r="35" spans="3:108" s="91" customFormat="1" ht="8.4499999999999993" thickBot="1">
      <c r="C35" s="94"/>
      <c r="D35" s="489" t="s">
        <v>73</v>
      </c>
      <c r="E35" s="490"/>
      <c r="F35" s="490"/>
      <c r="G35" s="490"/>
      <c r="H35" s="491"/>
      <c r="J35" s="94"/>
      <c r="K35" s="489" t="s">
        <v>74</v>
      </c>
      <c r="L35" s="490"/>
      <c r="M35" s="490"/>
      <c r="N35" s="490"/>
      <c r="O35" s="491"/>
      <c r="Q35" s="94"/>
      <c r="R35" s="489" t="s">
        <v>75</v>
      </c>
      <c r="S35" s="490"/>
      <c r="T35" s="490"/>
      <c r="U35" s="490"/>
      <c r="V35" s="491"/>
      <c r="X35" s="94"/>
      <c r="Y35" s="489" t="s">
        <v>76</v>
      </c>
      <c r="Z35" s="490"/>
      <c r="AA35" s="490"/>
      <c r="AB35" s="490"/>
      <c r="AC35" s="491"/>
      <c r="AE35" s="94"/>
      <c r="AF35" s="519" t="s">
        <v>77</v>
      </c>
      <c r="AG35" s="520"/>
      <c r="AH35" s="520"/>
      <c r="AI35" s="520"/>
      <c r="AJ35" s="527"/>
      <c r="AM35" s="453" t="s">
        <v>78</v>
      </c>
      <c r="AN35" s="454"/>
      <c r="AO35" s="454"/>
      <c r="AP35" s="454"/>
      <c r="AQ35" s="488"/>
      <c r="AR35" s="95"/>
      <c r="AS35" s="94"/>
      <c r="AT35" s="524" t="s">
        <v>79</v>
      </c>
      <c r="AU35" s="525"/>
      <c r="AV35" s="525"/>
      <c r="AW35" s="525"/>
      <c r="AX35" s="526"/>
      <c r="AY35" s="95"/>
      <c r="AZ35" s="94"/>
      <c r="BA35" s="507" t="s">
        <v>80</v>
      </c>
      <c r="BB35" s="508"/>
      <c r="BC35" s="508"/>
      <c r="BD35" s="508"/>
      <c r="BE35" s="509"/>
      <c r="BH35" s="507" t="s">
        <v>81</v>
      </c>
      <c r="BI35" s="508"/>
      <c r="BJ35" s="508"/>
      <c r="BK35" s="508"/>
      <c r="BL35" s="509"/>
      <c r="BM35" s="92"/>
      <c r="BN35" s="92"/>
      <c r="BY35" s="95"/>
      <c r="BZ35" s="95"/>
      <c r="CA35" s="95"/>
      <c r="CB35" s="92"/>
      <c r="CC35" s="468" t="s">
        <v>82</v>
      </c>
      <c r="CD35" s="469"/>
      <c r="CE35" s="469"/>
      <c r="CF35" s="469"/>
      <c r="CG35" s="469"/>
      <c r="CH35" s="469"/>
      <c r="CI35" s="469"/>
      <c r="CJ35" s="469"/>
      <c r="CK35" s="470"/>
      <c r="CL35" s="92"/>
      <c r="CM35" s="92"/>
      <c r="CN35" s="92"/>
      <c r="CO35" s="92"/>
    </row>
    <row r="36" spans="3:108" s="91" customFormat="1" ht="8.4499999999999993" thickBot="1">
      <c r="C36" s="94"/>
      <c r="D36" s="489">
        <v>2</v>
      </c>
      <c r="E36" s="490"/>
      <c r="F36" s="165"/>
      <c r="G36" s="165"/>
      <c r="H36" s="166"/>
      <c r="J36" s="94"/>
      <c r="K36" s="489">
        <v>2</v>
      </c>
      <c r="L36" s="490"/>
      <c r="M36" s="165"/>
      <c r="N36" s="165"/>
      <c r="O36" s="166"/>
      <c r="Q36" s="94"/>
      <c r="R36" s="489">
        <v>2</v>
      </c>
      <c r="S36" s="490"/>
      <c r="T36" s="165"/>
      <c r="U36" s="165"/>
      <c r="V36" s="166"/>
      <c r="X36" s="94"/>
      <c r="Y36" s="489">
        <v>2</v>
      </c>
      <c r="Z36" s="490"/>
      <c r="AA36" s="165"/>
      <c r="AB36" s="165"/>
      <c r="AC36" s="166"/>
      <c r="AE36" s="94"/>
      <c r="AF36" s="519">
        <v>3</v>
      </c>
      <c r="AG36" s="520"/>
      <c r="AH36" s="145"/>
      <c r="AI36" s="145"/>
      <c r="AJ36" s="146"/>
      <c r="AM36" s="453">
        <v>3</v>
      </c>
      <c r="AN36" s="454"/>
      <c r="AO36" s="149"/>
      <c r="AP36" s="149"/>
      <c r="AQ36" s="150"/>
      <c r="AR36" s="95"/>
      <c r="AS36" s="94"/>
      <c r="AT36" s="335">
        <v>3</v>
      </c>
      <c r="AU36" s="336"/>
      <c r="AV36" s="157"/>
      <c r="AW36" s="157"/>
      <c r="AX36" s="158"/>
      <c r="AY36" s="95"/>
      <c r="AZ36" s="94"/>
      <c r="BA36" s="507">
        <v>3</v>
      </c>
      <c r="BB36" s="508"/>
      <c r="BC36" s="153"/>
      <c r="BD36" s="153"/>
      <c r="BE36" s="154"/>
      <c r="BH36" s="507">
        <v>3</v>
      </c>
      <c r="BI36" s="508"/>
      <c r="BJ36" s="153"/>
      <c r="BK36" s="153"/>
      <c r="BL36" s="154"/>
      <c r="BM36" s="92"/>
      <c r="BN36" s="109"/>
      <c r="BY36" s="95"/>
      <c r="BZ36" s="95"/>
      <c r="CA36" s="95"/>
      <c r="CB36" s="92"/>
      <c r="CC36" s="465" t="s">
        <v>83</v>
      </c>
      <c r="CD36" s="466"/>
      <c r="CE36" s="466"/>
      <c r="CF36" s="466"/>
      <c r="CG36" s="466"/>
      <c r="CH36" s="466"/>
      <c r="CI36" s="467"/>
      <c r="CJ36" s="123"/>
      <c r="CK36" s="122">
        <f>SUM(D11,K11,R11,K26,Y11)</f>
        <v>12</v>
      </c>
      <c r="CL36" s="92"/>
      <c r="CM36" s="92"/>
      <c r="CN36" s="92"/>
      <c r="CO36" s="92"/>
    </row>
    <row r="37" spans="3:108" s="91" customFormat="1" ht="8.4499999999999993" thickBot="1">
      <c r="C37" s="94"/>
      <c r="D37" s="533"/>
      <c r="E37" s="534"/>
      <c r="F37" s="167"/>
      <c r="G37" s="167"/>
      <c r="H37" s="168"/>
      <c r="J37" s="94"/>
      <c r="K37" s="533"/>
      <c r="L37" s="534"/>
      <c r="M37" s="167"/>
      <c r="N37" s="167"/>
      <c r="O37" s="168"/>
      <c r="Q37" s="94"/>
      <c r="R37" s="533"/>
      <c r="S37" s="534"/>
      <c r="T37" s="167"/>
      <c r="U37" s="167"/>
      <c r="V37" s="168"/>
      <c r="X37" s="94"/>
      <c r="Y37" s="533"/>
      <c r="Z37" s="534"/>
      <c r="AA37" s="167"/>
      <c r="AB37" s="167"/>
      <c r="AC37" s="168"/>
      <c r="AE37" s="94"/>
      <c r="AF37" s="541"/>
      <c r="AG37" s="542"/>
      <c r="AH37" s="147"/>
      <c r="AI37" s="147"/>
      <c r="AJ37" s="148"/>
      <c r="AM37" s="486"/>
      <c r="AN37" s="487"/>
      <c r="AO37" s="151"/>
      <c r="AP37" s="151"/>
      <c r="AQ37" s="152"/>
      <c r="AR37" s="95"/>
      <c r="AS37" s="94"/>
      <c r="AT37" s="333"/>
      <c r="AU37" s="334"/>
      <c r="AV37" s="159"/>
      <c r="AW37" s="159"/>
      <c r="AX37" s="160"/>
      <c r="AY37" s="95"/>
      <c r="AZ37" s="94"/>
      <c r="BA37" s="513"/>
      <c r="BB37" s="514"/>
      <c r="BC37" s="155"/>
      <c r="BD37" s="155"/>
      <c r="BE37" s="156"/>
      <c r="BH37" s="513"/>
      <c r="BI37" s="514"/>
      <c r="BJ37" s="155"/>
      <c r="BK37" s="155"/>
      <c r="BL37" s="156"/>
      <c r="BM37" s="92"/>
      <c r="BN37" s="109"/>
      <c r="BY37" s="95"/>
      <c r="BZ37" s="95"/>
      <c r="CA37" s="95"/>
      <c r="CB37" s="92"/>
      <c r="CC37" s="545" t="s">
        <v>84</v>
      </c>
      <c r="CD37" s="545"/>
      <c r="CE37" s="545"/>
      <c r="CF37" s="545"/>
      <c r="CG37" s="545"/>
      <c r="CH37" s="545"/>
      <c r="CI37" s="545"/>
      <c r="CJ37" s="123"/>
      <c r="CK37" s="122">
        <f>SUM(D16,D17,K16,K17)</f>
        <v>8</v>
      </c>
      <c r="CL37" s="92"/>
      <c r="CM37" s="92"/>
      <c r="CN37" s="92"/>
      <c r="CO37" s="92"/>
    </row>
    <row r="38" spans="3:108" s="91" customFormat="1" ht="11.25" customHeight="1" thickBot="1">
      <c r="C38" s="94"/>
      <c r="J38" s="94"/>
      <c r="Q38" s="94"/>
      <c r="X38" s="94"/>
      <c r="AE38" s="94"/>
      <c r="AF38" s="95"/>
      <c r="AG38" s="95"/>
      <c r="AH38" s="95"/>
      <c r="AI38" s="95"/>
      <c r="AJ38" s="95"/>
      <c r="AK38" s="95"/>
      <c r="AL38" s="94"/>
      <c r="AM38" s="95"/>
      <c r="AN38" s="95"/>
      <c r="AO38" s="95"/>
      <c r="AP38" s="95"/>
      <c r="AQ38" s="95"/>
      <c r="AR38" s="95"/>
      <c r="AS38" s="94"/>
      <c r="AT38" s="95"/>
      <c r="AU38" s="95"/>
      <c r="AV38" s="95"/>
      <c r="AW38" s="95"/>
      <c r="AX38" s="95"/>
      <c r="AY38" s="95"/>
      <c r="AZ38" s="94"/>
      <c r="BA38" s="95"/>
      <c r="BB38" s="95"/>
      <c r="BC38" s="95"/>
      <c r="BD38" s="95"/>
      <c r="BE38" s="95"/>
      <c r="BF38" s="95"/>
      <c r="BG38" s="94"/>
      <c r="BH38" s="95"/>
      <c r="BI38" s="95"/>
      <c r="BJ38" s="95"/>
      <c r="BM38" s="92"/>
      <c r="BN38" s="109"/>
      <c r="BY38" s="95"/>
      <c r="BZ38" s="95"/>
      <c r="CA38" s="95"/>
      <c r="CB38" s="92"/>
      <c r="CC38" s="546" t="s">
        <v>85</v>
      </c>
      <c r="CD38" s="546"/>
      <c r="CE38" s="546"/>
      <c r="CF38" s="546"/>
      <c r="CG38" s="546"/>
      <c r="CH38" s="546"/>
      <c r="CI38" s="546"/>
      <c r="CJ38" s="123"/>
      <c r="CK38" s="122">
        <v>7</v>
      </c>
      <c r="CL38" s="92"/>
      <c r="CM38" s="92"/>
      <c r="CN38" s="92"/>
      <c r="CO38" s="92"/>
    </row>
    <row r="39" spans="3:108" s="91" customFormat="1" ht="8.4499999999999993" thickBot="1">
      <c r="C39" s="94" t="s">
        <v>19</v>
      </c>
      <c r="D39" s="280"/>
      <c r="E39" s="281"/>
      <c r="F39" s="281"/>
      <c r="G39" s="281"/>
      <c r="H39" s="282"/>
      <c r="I39" s="95"/>
      <c r="J39" s="94"/>
      <c r="K39" s="510"/>
      <c r="L39" s="511"/>
      <c r="M39" s="511"/>
      <c r="N39" s="511"/>
      <c r="O39" s="512"/>
      <c r="R39" s="423"/>
      <c r="S39" s="424"/>
      <c r="T39" s="424"/>
      <c r="U39" s="424"/>
      <c r="V39" s="425"/>
      <c r="X39" s="94" t="s">
        <v>32</v>
      </c>
      <c r="Y39" s="450"/>
      <c r="Z39" s="451"/>
      <c r="AA39" s="451"/>
      <c r="AB39" s="451"/>
      <c r="AC39" s="452"/>
      <c r="AE39" s="94" t="s">
        <v>32</v>
      </c>
      <c r="AF39" s="503"/>
      <c r="AG39" s="504"/>
      <c r="AH39" s="504"/>
      <c r="AI39" s="504"/>
      <c r="AJ39" s="505"/>
      <c r="AK39" s="95"/>
      <c r="AL39" s="94" t="s">
        <v>32</v>
      </c>
      <c r="AM39" s="492"/>
      <c r="AN39" s="493"/>
      <c r="AO39" s="493"/>
      <c r="AP39" s="493"/>
      <c r="AQ39" s="494"/>
      <c r="AT39" s="458"/>
      <c r="AU39" s="459"/>
      <c r="AV39" s="459"/>
      <c r="AW39" s="459"/>
      <c r="AX39" s="460"/>
      <c r="AY39" s="95"/>
      <c r="AZ39" s="94"/>
      <c r="BA39" s="458"/>
      <c r="BB39" s="459"/>
      <c r="BC39" s="459"/>
      <c r="BD39" s="459"/>
      <c r="BE39" s="460"/>
      <c r="BF39" s="95"/>
      <c r="BG39" s="94" t="s">
        <v>33</v>
      </c>
      <c r="BH39" s="458"/>
      <c r="BI39" s="459"/>
      <c r="BJ39" s="459"/>
      <c r="BK39" s="459"/>
      <c r="BL39" s="460"/>
      <c r="BM39" s="92"/>
      <c r="BN39" s="92"/>
      <c r="BY39" s="95"/>
      <c r="BZ39" s="95"/>
      <c r="CA39" s="95"/>
      <c r="CB39" s="92"/>
      <c r="CC39" s="540" t="s">
        <v>86</v>
      </c>
      <c r="CD39" s="540"/>
      <c r="CE39" s="540"/>
      <c r="CF39" s="540"/>
      <c r="CG39" s="540"/>
      <c r="CH39" s="540"/>
      <c r="CI39" s="540"/>
      <c r="CJ39" s="123"/>
      <c r="CK39" s="122">
        <f>SUM(R16,R17,Y16,Y17)</f>
        <v>8</v>
      </c>
      <c r="CL39" s="92"/>
      <c r="CM39" s="92"/>
      <c r="CN39" s="92"/>
      <c r="CO39" s="92"/>
    </row>
    <row r="40" spans="3:108" s="91" customFormat="1" ht="8.4499999999999993" thickBot="1">
      <c r="C40" s="94"/>
      <c r="D40" s="498" t="s">
        <v>87</v>
      </c>
      <c r="E40" s="457"/>
      <c r="F40" s="457"/>
      <c r="G40" s="457"/>
      <c r="H40" s="499"/>
      <c r="I40" s="95"/>
      <c r="J40" s="94"/>
      <c r="K40" s="498" t="s">
        <v>88</v>
      </c>
      <c r="L40" s="457"/>
      <c r="M40" s="457"/>
      <c r="N40" s="457"/>
      <c r="O40" s="499"/>
      <c r="R40" s="411" t="s">
        <v>89</v>
      </c>
      <c r="S40" s="412"/>
      <c r="T40" s="412"/>
      <c r="U40" s="412"/>
      <c r="V40" s="413"/>
      <c r="X40" s="94"/>
      <c r="Y40" s="500" t="s">
        <v>90</v>
      </c>
      <c r="Z40" s="501"/>
      <c r="AA40" s="501"/>
      <c r="AB40" s="501"/>
      <c r="AC40" s="502"/>
      <c r="AE40" s="94"/>
      <c r="AF40" s="484" t="s">
        <v>91</v>
      </c>
      <c r="AG40" s="485"/>
      <c r="AH40" s="485"/>
      <c r="AI40" s="485"/>
      <c r="AJ40" s="506"/>
      <c r="AK40" s="95"/>
      <c r="AL40" s="94"/>
      <c r="AM40" s="453" t="s">
        <v>92</v>
      </c>
      <c r="AN40" s="454"/>
      <c r="AO40" s="454"/>
      <c r="AP40" s="454"/>
      <c r="AQ40" s="488"/>
      <c r="AT40" s="461" t="s">
        <v>93</v>
      </c>
      <c r="AU40" s="462"/>
      <c r="AV40" s="462"/>
      <c r="AW40" s="462"/>
      <c r="AX40" s="463"/>
      <c r="AY40" s="95"/>
      <c r="AZ40" s="94"/>
      <c r="BA40" s="461" t="s">
        <v>94</v>
      </c>
      <c r="BB40" s="462"/>
      <c r="BC40" s="462"/>
      <c r="BD40" s="462"/>
      <c r="BE40" s="463"/>
      <c r="BF40" s="95"/>
      <c r="BG40" s="94"/>
      <c r="BH40" s="461" t="s">
        <v>95</v>
      </c>
      <c r="BI40" s="462"/>
      <c r="BJ40" s="462"/>
      <c r="BK40" s="462"/>
      <c r="BL40" s="463"/>
      <c r="BM40" s="92"/>
      <c r="BN40" s="92"/>
      <c r="BY40" s="95"/>
      <c r="BZ40" s="95"/>
      <c r="CA40" s="95"/>
      <c r="CB40" s="109"/>
      <c r="CC40" s="536" t="s">
        <v>96</v>
      </c>
      <c r="CD40" s="536"/>
      <c r="CE40" s="536"/>
      <c r="CF40" s="536"/>
      <c r="CG40" s="536"/>
      <c r="CH40" s="536"/>
      <c r="CI40" s="536"/>
      <c r="CJ40" s="123"/>
      <c r="CK40" s="122">
        <v>90</v>
      </c>
      <c r="CL40" s="109"/>
      <c r="CM40" s="109"/>
      <c r="CN40" s="92"/>
      <c r="CO40" s="92"/>
    </row>
    <row r="41" spans="3:108" s="91" customFormat="1" ht="8.4499999999999993" thickBot="1">
      <c r="C41" s="94"/>
      <c r="D41" s="279">
        <v>3</v>
      </c>
      <c r="E41" s="278"/>
      <c r="F41" s="95"/>
      <c r="G41" s="95"/>
      <c r="H41" s="110"/>
      <c r="I41" s="95"/>
      <c r="J41" s="94"/>
      <c r="K41" s="498">
        <v>3</v>
      </c>
      <c r="L41" s="457"/>
      <c r="M41" s="95"/>
      <c r="N41" s="95"/>
      <c r="O41" s="110"/>
      <c r="R41" s="411">
        <v>3</v>
      </c>
      <c r="S41" s="412"/>
      <c r="T41" s="98"/>
      <c r="U41" s="98"/>
      <c r="V41" s="99"/>
      <c r="X41" s="94"/>
      <c r="Y41" s="500">
        <v>3</v>
      </c>
      <c r="Z41" s="501"/>
      <c r="AA41" s="161"/>
      <c r="AB41" s="161"/>
      <c r="AC41" s="162"/>
      <c r="AE41" s="94"/>
      <c r="AF41" s="484"/>
      <c r="AG41" s="485"/>
      <c r="AH41" s="129"/>
      <c r="AI41" s="129"/>
      <c r="AJ41" s="130"/>
      <c r="AK41" s="95"/>
      <c r="AL41" s="94"/>
      <c r="AM41" s="453">
        <v>3</v>
      </c>
      <c r="AN41" s="454"/>
      <c r="AO41" s="149"/>
      <c r="AP41" s="149"/>
      <c r="AQ41" s="150"/>
      <c r="AT41" s="461">
        <v>3</v>
      </c>
      <c r="AU41" s="462"/>
      <c r="AV41" s="141"/>
      <c r="AW41" s="141"/>
      <c r="AX41" s="142"/>
      <c r="AY41" s="95"/>
      <c r="AZ41" s="94"/>
      <c r="BA41" s="461">
        <v>3</v>
      </c>
      <c r="BB41" s="462"/>
      <c r="BC41" s="141"/>
      <c r="BD41" s="141"/>
      <c r="BE41" s="142"/>
      <c r="BF41" s="95"/>
      <c r="BG41" s="94"/>
      <c r="BH41" s="461">
        <v>3</v>
      </c>
      <c r="BI41" s="462"/>
      <c r="BJ41" s="141"/>
      <c r="BK41" s="141"/>
      <c r="BL41" s="142"/>
      <c r="BM41" s="92"/>
      <c r="BN41" s="92"/>
      <c r="BY41" s="95"/>
      <c r="BZ41" s="95"/>
      <c r="CA41" s="95"/>
      <c r="CB41" s="109"/>
      <c r="CC41" s="532" t="s">
        <v>97</v>
      </c>
      <c r="CD41" s="532"/>
      <c r="CE41" s="532"/>
      <c r="CF41" s="532"/>
      <c r="CG41" s="532"/>
      <c r="CH41" s="532"/>
      <c r="CI41" s="532"/>
      <c r="CJ41" s="123"/>
      <c r="CK41" s="122">
        <f>SUM(AT41,BA41,BH41)</f>
        <v>9</v>
      </c>
      <c r="CL41" s="109"/>
      <c r="CM41" s="109"/>
      <c r="CN41" s="92"/>
      <c r="CO41" s="92"/>
    </row>
    <row r="42" spans="3:108" s="91" customFormat="1" ht="8.4499999999999993" thickBot="1">
      <c r="C42" s="94"/>
      <c r="D42" s="283"/>
      <c r="E42" s="284"/>
      <c r="F42" s="111"/>
      <c r="G42" s="111"/>
      <c r="H42" s="112"/>
      <c r="I42" s="95"/>
      <c r="J42" s="94"/>
      <c r="K42" s="543"/>
      <c r="L42" s="544"/>
      <c r="M42" s="111"/>
      <c r="N42" s="111"/>
      <c r="O42" s="112"/>
      <c r="R42" s="421"/>
      <c r="S42" s="422"/>
      <c r="T42" s="102"/>
      <c r="U42" s="102"/>
      <c r="V42" s="103"/>
      <c r="X42" s="94"/>
      <c r="Y42" s="547"/>
      <c r="Z42" s="548"/>
      <c r="AA42" s="163"/>
      <c r="AB42" s="163"/>
      <c r="AC42" s="164"/>
      <c r="AE42" s="94"/>
      <c r="AF42" s="515">
        <v>1</v>
      </c>
      <c r="AG42" s="516"/>
      <c r="AH42" s="131"/>
      <c r="AI42" s="131"/>
      <c r="AJ42" s="132"/>
      <c r="AK42" s="95"/>
      <c r="AL42" s="94"/>
      <c r="AM42" s="486"/>
      <c r="AN42" s="487"/>
      <c r="AO42" s="151"/>
      <c r="AP42" s="151"/>
      <c r="AQ42" s="152"/>
      <c r="AT42" s="471"/>
      <c r="AU42" s="472"/>
      <c r="AV42" s="143"/>
      <c r="AW42" s="143"/>
      <c r="AX42" s="144"/>
      <c r="AY42" s="95"/>
      <c r="AZ42" s="94"/>
      <c r="BA42" s="471"/>
      <c r="BB42" s="472"/>
      <c r="BC42" s="143"/>
      <c r="BD42" s="143"/>
      <c r="BE42" s="144"/>
      <c r="BF42" s="95"/>
      <c r="BG42" s="94"/>
      <c r="BH42" s="471"/>
      <c r="BI42" s="472"/>
      <c r="BJ42" s="143"/>
      <c r="BK42" s="143"/>
      <c r="BL42" s="144"/>
      <c r="BM42" s="92"/>
      <c r="BN42" s="92"/>
      <c r="BY42" s="95"/>
      <c r="BZ42" s="95"/>
      <c r="CA42" s="95"/>
      <c r="CB42" s="109"/>
      <c r="CC42" s="468" t="s">
        <v>98</v>
      </c>
      <c r="CD42" s="469"/>
      <c r="CE42" s="469"/>
      <c r="CF42" s="469"/>
      <c r="CG42" s="469"/>
      <c r="CH42" s="469"/>
      <c r="CI42" s="469"/>
      <c r="CJ42" s="469"/>
      <c r="CK42" s="470"/>
      <c r="CL42" s="109"/>
      <c r="CM42" s="109"/>
      <c r="CN42" s="92"/>
      <c r="CO42" s="92"/>
    </row>
    <row r="43" spans="3:108" s="91" customFormat="1" ht="8.4499999999999993" thickBot="1">
      <c r="C43" s="94"/>
      <c r="J43" s="94"/>
      <c r="Q43" s="94"/>
      <c r="X43" s="94"/>
      <c r="AE43" s="94"/>
      <c r="AF43" s="95"/>
      <c r="AG43" s="95"/>
      <c r="AH43" s="95"/>
      <c r="AI43" s="95"/>
      <c r="AJ43" s="95"/>
      <c r="AK43" s="95"/>
      <c r="AL43" s="94"/>
      <c r="AM43" s="95"/>
      <c r="AN43" s="95"/>
      <c r="AO43" s="95"/>
      <c r="AP43" s="95"/>
      <c r="AQ43" s="95"/>
      <c r="AR43" s="95"/>
      <c r="AS43" s="94"/>
      <c r="AT43" s="95"/>
      <c r="AU43" s="95"/>
      <c r="AV43" s="95"/>
      <c r="AW43" s="95"/>
      <c r="AX43" s="95"/>
      <c r="AY43" s="95"/>
      <c r="AZ43" s="94"/>
      <c r="BA43" s="95"/>
      <c r="BB43" s="95"/>
      <c r="BC43" s="95"/>
      <c r="BD43" s="95"/>
      <c r="BE43" s="95"/>
      <c r="BF43" s="95"/>
      <c r="BG43" s="94"/>
      <c r="BH43" s="95"/>
      <c r="BI43" s="95"/>
      <c r="BJ43" s="95"/>
      <c r="BM43" s="92"/>
      <c r="BN43" s="92"/>
      <c r="BY43" s="95"/>
      <c r="BZ43" s="95"/>
      <c r="CA43" s="95"/>
      <c r="CB43" s="92"/>
      <c r="CC43" s="549" t="s">
        <v>99</v>
      </c>
      <c r="CD43" s="550"/>
      <c r="CE43" s="550"/>
      <c r="CF43" s="550"/>
      <c r="CG43" s="550"/>
      <c r="CH43" s="550"/>
      <c r="CI43" s="551"/>
      <c r="CJ43" s="123"/>
      <c r="CK43" s="122">
        <v>24</v>
      </c>
      <c r="CL43" s="92"/>
      <c r="CM43" s="92"/>
      <c r="CN43" s="92"/>
      <c r="CO43" s="92"/>
    </row>
    <row r="44" spans="3:108" s="91" customFormat="1" ht="8.4499999999999993" thickBot="1">
      <c r="C44" s="94" t="s">
        <v>31</v>
      </c>
      <c r="D44" s="464"/>
      <c r="E44" s="464"/>
      <c r="F44" s="464"/>
      <c r="G44" s="464"/>
      <c r="H44" s="464"/>
      <c r="J44" s="94" t="s">
        <v>31</v>
      </c>
      <c r="K44" s="464"/>
      <c r="L44" s="464"/>
      <c r="M44" s="464"/>
      <c r="N44" s="464"/>
      <c r="O44" s="464"/>
      <c r="Q44" s="94" t="s">
        <v>64</v>
      </c>
      <c r="R44" s="464"/>
      <c r="S44" s="464"/>
      <c r="T44" s="464"/>
      <c r="U44" s="464"/>
      <c r="V44" s="464"/>
      <c r="X44" s="94" t="s">
        <v>100</v>
      </c>
      <c r="AE44" s="94" t="s">
        <v>32</v>
      </c>
      <c r="AR44" s="95"/>
      <c r="AS44" s="94"/>
      <c r="AT44" s="464"/>
      <c r="AU44" s="464"/>
      <c r="AV44" s="464"/>
      <c r="AW44" s="464"/>
      <c r="AX44" s="464"/>
      <c r="AY44" s="95"/>
      <c r="AZ44" s="94"/>
      <c r="BA44" s="464"/>
      <c r="BB44" s="464"/>
      <c r="BC44" s="464"/>
      <c r="BD44" s="464"/>
      <c r="BE44" s="464"/>
      <c r="BF44" s="95"/>
      <c r="BG44" s="94"/>
      <c r="BM44" s="92"/>
      <c r="BN44" s="92"/>
      <c r="BO44" s="464"/>
      <c r="BP44" s="464"/>
      <c r="BQ44" s="464"/>
      <c r="BR44" s="464"/>
      <c r="BS44" s="464"/>
      <c r="BY44" s="95"/>
      <c r="BZ44" s="95"/>
      <c r="CA44" s="95"/>
      <c r="CB44" s="92"/>
      <c r="CC44" s="552" t="s">
        <v>101</v>
      </c>
      <c r="CD44" s="553"/>
      <c r="CE44" s="553"/>
      <c r="CF44" s="553"/>
      <c r="CG44" s="553"/>
      <c r="CH44" s="553"/>
      <c r="CI44" s="554"/>
      <c r="CJ44" s="123"/>
      <c r="CK44" s="124">
        <f>BH36+BA36+AT36</f>
        <v>9</v>
      </c>
      <c r="CL44" s="92"/>
      <c r="CM44" s="92"/>
      <c r="CN44" s="92"/>
      <c r="CO44" s="92"/>
    </row>
    <row r="45" spans="3:108" s="91" customFormat="1" ht="8.4499999999999993" thickBot="1">
      <c r="C45" s="94"/>
      <c r="D45" s="464"/>
      <c r="E45" s="464"/>
      <c r="F45" s="464"/>
      <c r="G45" s="464"/>
      <c r="H45" s="464"/>
      <c r="J45" s="94"/>
      <c r="K45" s="464"/>
      <c r="L45" s="464"/>
      <c r="M45" s="464"/>
      <c r="N45" s="464"/>
      <c r="O45" s="464"/>
      <c r="Q45" s="94"/>
      <c r="R45" s="464"/>
      <c r="S45" s="464"/>
      <c r="T45" s="464"/>
      <c r="U45" s="464"/>
      <c r="V45" s="464"/>
      <c r="X45" s="94"/>
      <c r="AE45" s="94"/>
      <c r="AR45" s="95"/>
      <c r="AS45" s="94"/>
      <c r="AT45" s="464"/>
      <c r="AU45" s="464"/>
      <c r="AV45" s="464"/>
      <c r="AW45" s="464"/>
      <c r="AX45" s="464"/>
      <c r="AY45" s="95"/>
      <c r="AZ45" s="94"/>
      <c r="BA45" s="464"/>
      <c r="BB45" s="464"/>
      <c r="BC45" s="464"/>
      <c r="BD45" s="464"/>
      <c r="BE45" s="464"/>
      <c r="BF45" s="95"/>
      <c r="BG45" s="94"/>
      <c r="BM45" s="92"/>
      <c r="BN45" s="92"/>
      <c r="BO45" s="464"/>
      <c r="BP45" s="464"/>
      <c r="BQ45" s="464"/>
      <c r="BR45" s="464"/>
      <c r="BS45" s="464"/>
      <c r="BY45" s="95"/>
      <c r="BZ45" s="95"/>
      <c r="CA45" s="95"/>
      <c r="CB45" s="92"/>
      <c r="CC45" s="555" t="s">
        <v>102</v>
      </c>
      <c r="CD45" s="556"/>
      <c r="CE45" s="556"/>
      <c r="CF45" s="556"/>
      <c r="CG45" s="556"/>
      <c r="CH45" s="556"/>
      <c r="CI45" s="557"/>
      <c r="CJ45" s="123"/>
      <c r="CK45" s="337"/>
      <c r="CL45" s="92"/>
      <c r="CM45" s="92"/>
      <c r="CN45" s="92"/>
      <c r="CO45" s="92"/>
    </row>
    <row r="46" spans="3:108" s="91" customFormat="1" ht="8.4499999999999993" thickBot="1">
      <c r="C46" s="94"/>
      <c r="D46" s="464"/>
      <c r="E46" s="464"/>
      <c r="J46" s="94"/>
      <c r="K46" s="464"/>
      <c r="L46" s="464"/>
      <c r="Q46" s="94"/>
      <c r="R46" s="464"/>
      <c r="S46" s="464"/>
      <c r="X46" s="94"/>
      <c r="AE46" s="94"/>
      <c r="AR46" s="95"/>
      <c r="AS46" s="94"/>
      <c r="AT46" s="464"/>
      <c r="AU46" s="464"/>
      <c r="AY46" s="95"/>
      <c r="AZ46" s="94"/>
      <c r="BA46" s="464"/>
      <c r="BB46" s="464"/>
      <c r="BF46" s="95"/>
      <c r="BG46" s="94"/>
      <c r="BM46" s="92"/>
      <c r="BN46" s="92"/>
      <c r="BO46" s="464"/>
      <c r="BP46" s="464"/>
      <c r="BY46" s="95"/>
      <c r="BZ46" s="95"/>
      <c r="CA46" s="95"/>
      <c r="CB46" s="92"/>
      <c r="CC46" s="558" t="s">
        <v>103</v>
      </c>
      <c r="CD46" s="559"/>
      <c r="CE46" s="559"/>
      <c r="CF46" s="559"/>
      <c r="CG46" s="559"/>
      <c r="CH46" s="559"/>
      <c r="CI46" s="560"/>
      <c r="CJ46" s="123"/>
      <c r="CK46" s="122">
        <f>Y41</f>
        <v>3</v>
      </c>
      <c r="CL46" s="92"/>
      <c r="CM46" s="92"/>
      <c r="CN46" s="92"/>
      <c r="CO46" s="92"/>
    </row>
    <row r="47" spans="3:108" s="91" customFormat="1" ht="13.5" customHeight="1" thickBot="1">
      <c r="C47" s="94"/>
      <c r="D47" s="464"/>
      <c r="E47" s="464"/>
      <c r="J47" s="94"/>
      <c r="K47" s="464"/>
      <c r="L47" s="464"/>
      <c r="Q47" s="94"/>
      <c r="R47" s="464"/>
      <c r="S47" s="464"/>
      <c r="X47" s="94"/>
      <c r="AE47" s="94"/>
      <c r="AR47" s="95"/>
      <c r="AS47" s="94"/>
      <c r="AT47" s="464"/>
      <c r="AU47" s="464"/>
      <c r="AY47" s="95"/>
      <c r="AZ47" s="94"/>
      <c r="BA47" s="464"/>
      <c r="BB47" s="464"/>
      <c r="BF47" s="95"/>
      <c r="BG47" s="94"/>
      <c r="BM47" s="92"/>
      <c r="BN47" s="92"/>
      <c r="BO47" s="464"/>
      <c r="BP47" s="464"/>
      <c r="BY47" s="95"/>
      <c r="BZ47" s="95"/>
      <c r="CA47" s="95"/>
      <c r="CB47" s="92"/>
      <c r="CC47" s="563" t="s">
        <v>104</v>
      </c>
      <c r="CD47" s="564"/>
      <c r="CE47" s="564"/>
      <c r="CF47" s="564"/>
      <c r="CG47" s="564"/>
      <c r="CH47" s="564"/>
      <c r="CI47" s="565"/>
      <c r="CJ47" s="123"/>
      <c r="CK47" s="122">
        <v>8</v>
      </c>
      <c r="CL47" s="92"/>
      <c r="CM47" s="92"/>
      <c r="CN47" s="92"/>
      <c r="CO47" s="92"/>
    </row>
    <row r="48" spans="3:108" s="91" customFormat="1" ht="8.4499999999999993" thickBot="1">
      <c r="C48" s="94"/>
      <c r="J48" s="94"/>
      <c r="Q48" s="95"/>
      <c r="X48" s="94"/>
      <c r="AE48" s="94"/>
      <c r="AF48" s="95"/>
      <c r="AG48" s="95"/>
      <c r="AH48" s="95"/>
      <c r="AI48" s="95"/>
      <c r="AJ48" s="95"/>
      <c r="AK48" s="95"/>
      <c r="AL48" s="95"/>
      <c r="AM48" s="95"/>
      <c r="AN48" s="95"/>
      <c r="AO48" s="95"/>
      <c r="AP48" s="95"/>
      <c r="AQ48" s="95"/>
      <c r="AR48" s="95"/>
      <c r="AS48" s="94"/>
      <c r="AT48" s="95"/>
      <c r="AU48" s="95"/>
      <c r="AV48" s="95"/>
      <c r="AW48" s="95"/>
      <c r="AX48" s="95"/>
      <c r="AY48" s="95"/>
      <c r="AZ48" s="94"/>
      <c r="BA48" s="95"/>
      <c r="BB48" s="95"/>
      <c r="BC48" s="95"/>
      <c r="BD48" s="95"/>
      <c r="BE48" s="95"/>
      <c r="BF48" s="95"/>
      <c r="BG48" s="94"/>
      <c r="BH48" s="95"/>
      <c r="BI48" s="113"/>
      <c r="BJ48" s="95"/>
      <c r="BK48" s="92"/>
      <c r="BL48" s="92"/>
      <c r="BM48" s="92"/>
      <c r="BN48" s="92"/>
      <c r="BO48" s="92"/>
      <c r="BP48" s="92"/>
      <c r="BQ48" s="92"/>
      <c r="BR48" s="92"/>
      <c r="BS48" s="92"/>
      <c r="BT48" s="92"/>
      <c r="BU48" s="92"/>
      <c r="BV48" s="92"/>
      <c r="BW48" s="92"/>
      <c r="BX48" s="92"/>
      <c r="BY48" s="95"/>
      <c r="BZ48" s="95"/>
      <c r="CA48" s="95"/>
      <c r="CB48" s="92"/>
      <c r="CC48" s="566" t="s">
        <v>105</v>
      </c>
      <c r="CD48" s="567"/>
      <c r="CE48" s="567"/>
      <c r="CF48" s="567"/>
      <c r="CG48" s="567"/>
      <c r="CH48" s="567"/>
      <c r="CI48" s="568"/>
      <c r="CJ48" s="123"/>
      <c r="CK48" s="122">
        <v>6</v>
      </c>
      <c r="CL48" s="92"/>
      <c r="CM48" s="92"/>
      <c r="CN48" s="92"/>
      <c r="CO48" s="92"/>
      <c r="CY48" s="92"/>
      <c r="CZ48" s="92"/>
      <c r="DA48" s="92"/>
      <c r="DB48" s="92"/>
      <c r="DC48" s="92"/>
      <c r="DD48" s="92"/>
    </row>
    <row r="49" spans="2:104" s="92" customFormat="1" ht="8.4499999999999993" thickBot="1">
      <c r="D49" s="180"/>
      <c r="E49" s="180"/>
      <c r="K49" s="180"/>
      <c r="L49" s="180"/>
      <c r="BZ49" s="113"/>
      <c r="CA49" s="113"/>
      <c r="CL49" s="113"/>
      <c r="CM49" s="113"/>
      <c r="CN49" s="113"/>
      <c r="CO49" s="113"/>
    </row>
    <row r="50" spans="2:104" s="92" customFormat="1" ht="10.5" thickBot="1">
      <c r="D50" s="180"/>
      <c r="E50" s="180"/>
      <c r="H50" s="569" t="s">
        <v>106</v>
      </c>
      <c r="I50" s="569"/>
      <c r="J50" s="569"/>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Z50" s="113"/>
      <c r="CA50" s="113"/>
      <c r="CC50" s="570" t="s">
        <v>107</v>
      </c>
      <c r="CD50" s="570"/>
      <c r="CE50" s="570"/>
      <c r="CF50" s="570"/>
      <c r="CG50" s="570"/>
      <c r="CH50" s="570"/>
      <c r="CI50" s="570"/>
      <c r="CK50" s="124">
        <f>CK36+CK37+CK38+CK39+CK40+CK41+CK44+CK45+CK46+CK47+CK48+CK43</f>
        <v>184</v>
      </c>
      <c r="CL50" s="113"/>
      <c r="CM50" s="113"/>
      <c r="CN50" s="113"/>
      <c r="CO50" s="113"/>
    </row>
    <row r="51" spans="2:104" s="92" customFormat="1" ht="8.1">
      <c r="D51" s="180"/>
      <c r="E51" s="180"/>
      <c r="H51" s="571" t="s">
        <v>108</v>
      </c>
      <c r="I51" s="571"/>
      <c r="J51" s="571"/>
      <c r="K51" s="571"/>
      <c r="L51" s="571"/>
      <c r="M51" s="571"/>
      <c r="N51" s="571"/>
      <c r="O51" s="571"/>
      <c r="P51" s="571"/>
      <c r="Q51" s="571"/>
      <c r="R51" s="571"/>
      <c r="S51" s="571"/>
      <c r="T51" s="571"/>
      <c r="U51" s="571"/>
      <c r="V51" s="571"/>
      <c r="W51" s="571"/>
      <c r="X51" s="572" t="s">
        <v>109</v>
      </c>
      <c r="Y51" s="572"/>
      <c r="Z51" s="572"/>
      <c r="AA51" s="572"/>
      <c r="AB51" s="572"/>
      <c r="AC51" s="572"/>
      <c r="AD51" s="572"/>
      <c r="AE51" s="572"/>
      <c r="AF51" s="572"/>
      <c r="AG51" s="572"/>
      <c r="AH51" s="572"/>
      <c r="AI51" s="572"/>
      <c r="AJ51" s="572"/>
      <c r="AK51" s="572"/>
      <c r="AL51" s="572"/>
      <c r="AM51" s="572"/>
      <c r="AN51" s="572" t="s">
        <v>110</v>
      </c>
      <c r="AO51" s="572"/>
      <c r="AP51" s="572"/>
      <c r="AQ51" s="572"/>
      <c r="AR51" s="572"/>
      <c r="AS51" s="572"/>
      <c r="AT51" s="572"/>
      <c r="AU51" s="572"/>
      <c r="AV51" s="572"/>
      <c r="AW51" s="572"/>
      <c r="AX51" s="572"/>
      <c r="AY51" s="572"/>
      <c r="AZ51" s="572"/>
      <c r="BA51" s="572"/>
      <c r="BB51" s="572"/>
      <c r="BC51" s="572"/>
      <c r="BZ51" s="113"/>
      <c r="CA51" s="113"/>
      <c r="CL51" s="113"/>
      <c r="CM51" s="113"/>
      <c r="CN51" s="113"/>
      <c r="CO51" s="113"/>
    </row>
    <row r="52" spans="2:104" s="91" customFormat="1" ht="8.1">
      <c r="D52" s="182"/>
      <c r="E52" s="182"/>
      <c r="H52" s="561" t="s">
        <v>111</v>
      </c>
      <c r="I52" s="561"/>
      <c r="J52" s="561"/>
      <c r="K52" s="561"/>
      <c r="L52" s="561"/>
      <c r="M52" s="562" t="s">
        <v>112</v>
      </c>
      <c r="N52" s="562"/>
      <c r="O52" s="562"/>
      <c r="P52" s="562"/>
      <c r="Q52" s="562"/>
      <c r="R52" s="562"/>
      <c r="S52" s="562"/>
      <c r="T52" s="562"/>
      <c r="U52" s="562"/>
      <c r="V52" s="562"/>
      <c r="W52" s="562"/>
      <c r="X52" s="561" t="s">
        <v>113</v>
      </c>
      <c r="Y52" s="561"/>
      <c r="Z52" s="561"/>
      <c r="AA52" s="561"/>
      <c r="AB52" s="561"/>
      <c r="AC52" s="562" t="s">
        <v>114</v>
      </c>
      <c r="AD52" s="562"/>
      <c r="AE52" s="562"/>
      <c r="AF52" s="562"/>
      <c r="AG52" s="562"/>
      <c r="AH52" s="562"/>
      <c r="AI52" s="562"/>
      <c r="AJ52" s="562"/>
      <c r="AK52" s="562"/>
      <c r="AL52" s="562"/>
      <c r="AM52" s="562"/>
      <c r="AN52" s="561" t="s">
        <v>115</v>
      </c>
      <c r="AO52" s="561"/>
      <c r="AP52" s="561"/>
      <c r="AQ52" s="561"/>
      <c r="AR52" s="561"/>
      <c r="AS52" s="562" t="s">
        <v>116</v>
      </c>
      <c r="AT52" s="562"/>
      <c r="AU52" s="562"/>
      <c r="AV52" s="562"/>
      <c r="AW52" s="562"/>
      <c r="AX52" s="562"/>
      <c r="AY52" s="562"/>
      <c r="AZ52" s="562"/>
      <c r="BA52" s="562"/>
      <c r="BB52" s="562"/>
      <c r="BC52" s="562"/>
      <c r="BK52" s="114" t="s">
        <v>117</v>
      </c>
      <c r="BZ52" s="113"/>
      <c r="CA52" s="113"/>
      <c r="CB52" s="113"/>
      <c r="CC52" s="113"/>
      <c r="CD52" s="113"/>
      <c r="CE52" s="113"/>
      <c r="CF52" s="113"/>
      <c r="CG52" s="113"/>
      <c r="CH52" s="113"/>
      <c r="CI52" s="113"/>
      <c r="CJ52" s="113"/>
      <c r="CK52" s="113"/>
      <c r="CL52" s="113"/>
      <c r="CM52" s="113"/>
      <c r="CN52" s="113"/>
      <c r="CO52" s="113"/>
    </row>
    <row r="53" spans="2:104" s="91" customFormat="1" ht="8.25" customHeight="1">
      <c r="C53" s="115"/>
      <c r="D53" s="115"/>
      <c r="E53" s="115"/>
      <c r="F53" s="115"/>
      <c r="G53" s="115"/>
      <c r="H53" s="561"/>
      <c r="I53" s="561"/>
      <c r="J53" s="561"/>
      <c r="K53" s="561"/>
      <c r="L53" s="561"/>
      <c r="M53" s="562"/>
      <c r="N53" s="562"/>
      <c r="O53" s="562"/>
      <c r="P53" s="562"/>
      <c r="Q53" s="562"/>
      <c r="R53" s="562"/>
      <c r="S53" s="562"/>
      <c r="T53" s="562"/>
      <c r="U53" s="562"/>
      <c r="V53" s="562"/>
      <c r="W53" s="562"/>
      <c r="X53" s="561"/>
      <c r="Y53" s="561"/>
      <c r="Z53" s="561"/>
      <c r="AA53" s="561"/>
      <c r="AB53" s="561"/>
      <c r="AC53" s="562"/>
      <c r="AD53" s="562"/>
      <c r="AE53" s="562"/>
      <c r="AF53" s="562"/>
      <c r="AG53" s="562"/>
      <c r="AH53" s="562"/>
      <c r="AI53" s="562"/>
      <c r="AJ53" s="562"/>
      <c r="AK53" s="562"/>
      <c r="AL53" s="562"/>
      <c r="AM53" s="562"/>
      <c r="AN53" s="561"/>
      <c r="AO53" s="561"/>
      <c r="AP53" s="561"/>
      <c r="AQ53" s="561"/>
      <c r="AR53" s="561"/>
      <c r="AS53" s="562"/>
      <c r="AT53" s="562"/>
      <c r="AU53" s="562"/>
      <c r="AV53" s="562"/>
      <c r="AW53" s="562"/>
      <c r="AX53" s="562"/>
      <c r="AY53" s="562"/>
      <c r="AZ53" s="562"/>
      <c r="BA53" s="562"/>
      <c r="BB53" s="562"/>
      <c r="BC53" s="562"/>
      <c r="BD53" s="115"/>
      <c r="BE53" s="115"/>
      <c r="BF53" s="115"/>
      <c r="BG53" s="115"/>
      <c r="BH53" s="115"/>
      <c r="BI53" s="115"/>
      <c r="BJ53" s="115"/>
    </row>
    <row r="54" spans="2:104" s="91" customFormat="1" ht="8.25" customHeight="1">
      <c r="C54" s="116"/>
      <c r="D54" s="116"/>
      <c r="E54" s="116"/>
      <c r="F54" s="116"/>
      <c r="G54" s="116"/>
      <c r="H54" s="561" t="s">
        <v>118</v>
      </c>
      <c r="I54" s="561"/>
      <c r="J54" s="561"/>
      <c r="K54" s="561"/>
      <c r="L54" s="561"/>
      <c r="M54" s="562" t="s">
        <v>119</v>
      </c>
      <c r="N54" s="562"/>
      <c r="O54" s="562"/>
      <c r="P54" s="562"/>
      <c r="Q54" s="562"/>
      <c r="R54" s="562"/>
      <c r="S54" s="562"/>
      <c r="T54" s="562"/>
      <c r="U54" s="562"/>
      <c r="V54" s="562"/>
      <c r="W54" s="562"/>
      <c r="X54" s="561" t="s">
        <v>120</v>
      </c>
      <c r="Y54" s="561"/>
      <c r="Z54" s="561"/>
      <c r="AA54" s="561"/>
      <c r="AB54" s="561"/>
      <c r="AC54" s="562" t="s">
        <v>121</v>
      </c>
      <c r="AD54" s="562"/>
      <c r="AE54" s="562"/>
      <c r="AF54" s="562"/>
      <c r="AG54" s="562"/>
      <c r="AH54" s="562"/>
      <c r="AI54" s="562"/>
      <c r="AJ54" s="562"/>
      <c r="AK54" s="562"/>
      <c r="AL54" s="562"/>
      <c r="AM54" s="562"/>
      <c r="AN54" s="561" t="s">
        <v>122</v>
      </c>
      <c r="AO54" s="561"/>
      <c r="AP54" s="561"/>
      <c r="AQ54" s="561"/>
      <c r="AR54" s="561"/>
      <c r="AS54" s="573" t="s">
        <v>123</v>
      </c>
      <c r="AT54" s="573"/>
      <c r="AU54" s="573"/>
      <c r="AV54" s="573"/>
      <c r="AW54" s="573"/>
      <c r="AX54" s="573"/>
      <c r="AY54" s="573"/>
      <c r="AZ54" s="573"/>
      <c r="BA54" s="573"/>
      <c r="BB54" s="573"/>
      <c r="BC54" s="573"/>
      <c r="BP54" s="91" t="s">
        <v>124</v>
      </c>
    </row>
    <row r="55" spans="2:104" s="91" customFormat="1" ht="8.25" customHeight="1">
      <c r="C55" s="115"/>
      <c r="D55" s="115"/>
      <c r="E55" s="115"/>
      <c r="F55" s="115"/>
      <c r="G55" s="115"/>
      <c r="H55" s="561"/>
      <c r="I55" s="561"/>
      <c r="J55" s="561"/>
      <c r="K55" s="561"/>
      <c r="L55" s="561"/>
      <c r="M55" s="562"/>
      <c r="N55" s="562"/>
      <c r="O55" s="562"/>
      <c r="P55" s="562"/>
      <c r="Q55" s="562"/>
      <c r="R55" s="562"/>
      <c r="S55" s="562"/>
      <c r="T55" s="562"/>
      <c r="U55" s="562"/>
      <c r="V55" s="562"/>
      <c r="W55" s="562"/>
      <c r="X55" s="561"/>
      <c r="Y55" s="561"/>
      <c r="Z55" s="561"/>
      <c r="AA55" s="561"/>
      <c r="AB55" s="561"/>
      <c r="AC55" s="562"/>
      <c r="AD55" s="562"/>
      <c r="AE55" s="562"/>
      <c r="AF55" s="562"/>
      <c r="AG55" s="562"/>
      <c r="AH55" s="562"/>
      <c r="AI55" s="562"/>
      <c r="AJ55" s="562"/>
      <c r="AK55" s="562"/>
      <c r="AL55" s="562"/>
      <c r="AM55" s="562"/>
      <c r="AN55" s="561"/>
      <c r="AO55" s="561"/>
      <c r="AP55" s="561"/>
      <c r="AQ55" s="561"/>
      <c r="AR55" s="561"/>
      <c r="AS55" s="573"/>
      <c r="AT55" s="573"/>
      <c r="AU55" s="573"/>
      <c r="AV55" s="573"/>
      <c r="AW55" s="573"/>
      <c r="AX55" s="573"/>
      <c r="AY55" s="573"/>
      <c r="AZ55" s="573"/>
      <c r="BA55" s="573"/>
      <c r="BB55" s="573"/>
      <c r="BC55" s="573"/>
    </row>
    <row r="56" spans="2:104" s="91" customFormat="1" ht="8.25" customHeight="1">
      <c r="C56" s="116"/>
      <c r="D56" s="116"/>
      <c r="E56" s="116"/>
      <c r="F56" s="116"/>
      <c r="G56" s="116"/>
      <c r="H56" s="561" t="s">
        <v>125</v>
      </c>
      <c r="I56" s="561"/>
      <c r="J56" s="561"/>
      <c r="K56" s="561"/>
      <c r="L56" s="561"/>
      <c r="M56" s="562" t="s">
        <v>126</v>
      </c>
      <c r="N56" s="562"/>
      <c r="O56" s="562"/>
      <c r="P56" s="562"/>
      <c r="Q56" s="562"/>
      <c r="R56" s="562"/>
      <c r="S56" s="562"/>
      <c r="T56" s="562"/>
      <c r="U56" s="562"/>
      <c r="V56" s="562"/>
      <c r="W56" s="562"/>
      <c r="X56" s="561" t="s">
        <v>127</v>
      </c>
      <c r="Y56" s="561"/>
      <c r="Z56" s="561"/>
      <c r="AA56" s="561"/>
      <c r="AB56" s="561"/>
      <c r="AC56" s="562" t="s">
        <v>128</v>
      </c>
      <c r="AD56" s="562"/>
      <c r="AE56" s="562"/>
      <c r="AF56" s="562"/>
      <c r="AG56" s="562"/>
      <c r="AH56" s="562"/>
      <c r="AI56" s="562"/>
      <c r="AJ56" s="562"/>
      <c r="AK56" s="562"/>
      <c r="AL56" s="562"/>
      <c r="AM56" s="562"/>
      <c r="AN56" s="561" t="s">
        <v>129</v>
      </c>
      <c r="AO56" s="561"/>
      <c r="AP56" s="561"/>
      <c r="AQ56" s="561"/>
      <c r="AR56" s="561"/>
      <c r="AS56" s="573" t="s">
        <v>130</v>
      </c>
      <c r="AT56" s="573"/>
      <c r="AU56" s="573"/>
      <c r="AV56" s="573"/>
      <c r="AW56" s="573"/>
      <c r="AX56" s="573"/>
      <c r="AY56" s="573"/>
      <c r="AZ56" s="573"/>
      <c r="BA56" s="573"/>
      <c r="BB56" s="573"/>
      <c r="BC56" s="573"/>
      <c r="BD56" s="117"/>
      <c r="BE56" s="117"/>
      <c r="BF56" s="117"/>
      <c r="BG56" s="117"/>
      <c r="BH56" s="117"/>
      <c r="BI56" s="117"/>
      <c r="BJ56" s="117"/>
      <c r="BP56" s="91" t="s">
        <v>131</v>
      </c>
    </row>
    <row r="57" spans="2:104" s="91" customFormat="1" ht="8.25" customHeight="1">
      <c r="C57" s="116"/>
      <c r="D57" s="116"/>
      <c r="E57" s="116"/>
      <c r="F57" s="116"/>
      <c r="G57" s="116"/>
      <c r="H57" s="561"/>
      <c r="I57" s="561"/>
      <c r="J57" s="561"/>
      <c r="K57" s="561"/>
      <c r="L57" s="561"/>
      <c r="M57" s="562"/>
      <c r="N57" s="562"/>
      <c r="O57" s="562"/>
      <c r="P57" s="562"/>
      <c r="Q57" s="562"/>
      <c r="R57" s="562"/>
      <c r="S57" s="562"/>
      <c r="T57" s="562"/>
      <c r="U57" s="562"/>
      <c r="V57" s="562"/>
      <c r="W57" s="562"/>
      <c r="X57" s="561"/>
      <c r="Y57" s="561"/>
      <c r="Z57" s="561"/>
      <c r="AA57" s="561"/>
      <c r="AB57" s="561"/>
      <c r="AC57" s="562"/>
      <c r="AD57" s="562"/>
      <c r="AE57" s="562"/>
      <c r="AF57" s="562"/>
      <c r="AG57" s="562"/>
      <c r="AH57" s="562"/>
      <c r="AI57" s="562"/>
      <c r="AJ57" s="562"/>
      <c r="AK57" s="562"/>
      <c r="AL57" s="562"/>
      <c r="AM57" s="562"/>
      <c r="AN57" s="561"/>
      <c r="AO57" s="561"/>
      <c r="AP57" s="561"/>
      <c r="AQ57" s="561"/>
      <c r="AR57" s="561"/>
      <c r="AS57" s="573"/>
      <c r="AT57" s="573"/>
      <c r="AU57" s="573"/>
      <c r="AV57" s="573"/>
      <c r="AW57" s="573"/>
      <c r="AX57" s="573"/>
      <c r="AY57" s="573"/>
      <c r="AZ57" s="573"/>
      <c r="BA57" s="573"/>
      <c r="BB57" s="573"/>
      <c r="BC57" s="573"/>
      <c r="BD57" s="117"/>
      <c r="BE57" s="117"/>
      <c r="BF57" s="117"/>
      <c r="BG57" s="117"/>
      <c r="BH57" s="117"/>
      <c r="BI57" s="117"/>
      <c r="BJ57" s="117"/>
    </row>
    <row r="58" spans="2:104" s="91" customFormat="1" ht="8.25" customHeight="1">
      <c r="D58" s="182"/>
      <c r="E58" s="182"/>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H58" s="182"/>
      <c r="BI58" s="182"/>
      <c r="BJ58" s="182"/>
      <c r="BK58" s="182"/>
      <c r="BO58" s="182"/>
      <c r="BQ58" s="182"/>
      <c r="BR58" s="182"/>
      <c r="BS58" s="182"/>
      <c r="BV58" s="182"/>
      <c r="BW58" s="182"/>
      <c r="BX58" s="182"/>
      <c r="BY58" s="182"/>
      <c r="BZ58" s="182"/>
    </row>
    <row r="59" spans="2:104" s="91" customFormat="1" ht="8.1">
      <c r="I59" s="115"/>
      <c r="J59" s="115"/>
      <c r="K59" s="115"/>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L59" s="91" t="s">
        <v>132</v>
      </c>
    </row>
    <row r="60" spans="2:104" s="91" customFormat="1" ht="8.1">
      <c r="BH60" s="182"/>
      <c r="BI60" s="182"/>
      <c r="BJ60" s="182"/>
      <c r="BK60" s="182"/>
      <c r="BL60" s="91" t="s">
        <v>133</v>
      </c>
      <c r="BO60" s="182"/>
      <c r="BP60" s="182"/>
      <c r="BQ60" s="182"/>
      <c r="BR60" s="182"/>
      <c r="BS60" s="182"/>
      <c r="BV60" s="182"/>
      <c r="BW60" s="182"/>
      <c r="BX60" s="182"/>
      <c r="BY60" s="182"/>
      <c r="BZ60" s="182"/>
    </row>
    <row r="61" spans="2:104" s="91" customFormat="1" ht="8.1">
      <c r="BT61" s="273"/>
    </row>
    <row r="62" spans="2:104" s="91" customFormat="1" ht="8.1">
      <c r="B62" s="575" t="s">
        <v>134</v>
      </c>
      <c r="C62" s="576"/>
      <c r="D62" s="574">
        <f>SUM(D31, D26,D21,D16,D11,D36,D41)</f>
        <v>15</v>
      </c>
      <c r="E62" s="574"/>
      <c r="F62" s="574"/>
      <c r="G62" s="574"/>
      <c r="H62" s="574"/>
      <c r="I62" s="92"/>
      <c r="J62" s="92"/>
      <c r="K62" s="574">
        <f>SUM(K41,K36,K31,K26,K16,K11)</f>
        <v>14</v>
      </c>
      <c r="L62" s="574"/>
      <c r="M62" s="574"/>
      <c r="N62" s="574"/>
      <c r="O62" s="574"/>
      <c r="P62" s="92"/>
      <c r="Q62" s="92"/>
      <c r="R62" s="574">
        <f>SUM(R36,R21,R26,R16,R11,R41)</f>
        <v>14</v>
      </c>
      <c r="S62" s="574"/>
      <c r="T62" s="574"/>
      <c r="U62" s="574"/>
      <c r="V62" s="574"/>
      <c r="W62" s="92"/>
      <c r="X62" s="92"/>
      <c r="Y62" s="574">
        <f>SUM(Y36,Y41,Y31,Y26,Y21,Y16,Y11)</f>
        <v>14</v>
      </c>
      <c r="Z62" s="574"/>
      <c r="AA62" s="574"/>
      <c r="AB62" s="574"/>
      <c r="AC62" s="574"/>
      <c r="AD62" s="92"/>
      <c r="AE62" s="92"/>
      <c r="AF62" s="574">
        <f>SUM(AF41,AF36,AF31,AF21,AF11,AF16,AF26)</f>
        <v>15</v>
      </c>
      <c r="AG62" s="574"/>
      <c r="AH62" s="574"/>
      <c r="AI62" s="574"/>
      <c r="AJ62" s="574"/>
      <c r="AK62" s="92"/>
      <c r="AL62" s="92"/>
      <c r="AM62" s="574">
        <f>SUM(AM41,AM36,AM31,AM26,AM21,AM16,AM11)</f>
        <v>18</v>
      </c>
      <c r="AN62" s="574"/>
      <c r="AO62" s="574"/>
      <c r="AP62" s="574"/>
      <c r="AQ62" s="574"/>
      <c r="AR62" s="92"/>
      <c r="AS62" s="92"/>
      <c r="AT62" s="574">
        <f>SUM(AT41,AT36,AT31,AT26,AT21,AT16,AT11)</f>
        <v>17</v>
      </c>
      <c r="AU62" s="574"/>
      <c r="AV62" s="574"/>
      <c r="AW62" s="574"/>
      <c r="AX62" s="574"/>
      <c r="AY62" s="92"/>
      <c r="AZ62" s="92"/>
      <c r="BA62" s="574">
        <f>SUM(BA41,BA36,BA31,BA26,BA21,BA16,BA11)</f>
        <v>18</v>
      </c>
      <c r="BB62" s="574"/>
      <c r="BC62" s="574"/>
      <c r="BD62" s="574"/>
      <c r="BE62" s="574"/>
      <c r="BF62" s="92"/>
      <c r="BG62" s="92"/>
      <c r="BH62" s="574">
        <f>SUM(BH41,BH36,BH26,BH21,BH16,BH11,BH31)</f>
        <v>14</v>
      </c>
      <c r="BI62" s="574"/>
      <c r="BJ62" s="574"/>
      <c r="BK62" s="574"/>
      <c r="BL62" s="574"/>
      <c r="BM62" s="92"/>
      <c r="BN62" s="92"/>
      <c r="BO62" s="574">
        <f>SUM(BO21,BO16,BO11)</f>
        <v>0</v>
      </c>
      <c r="BP62" s="574"/>
      <c r="BQ62" s="574"/>
      <c r="BR62" s="574"/>
      <c r="BS62" s="574"/>
      <c r="BT62" s="92"/>
      <c r="BU62" s="92"/>
      <c r="BV62" s="574">
        <f>SUM(BV21,BV16,BV11)</f>
        <v>0</v>
      </c>
      <c r="BW62" s="574"/>
      <c r="BX62" s="574"/>
      <c r="BY62" s="574"/>
      <c r="BZ62" s="574"/>
      <c r="CA62" s="92"/>
      <c r="CB62" s="92"/>
      <c r="CC62" s="574">
        <f>SUM(CC21,CC16,CC11)</f>
        <v>0</v>
      </c>
      <c r="CD62" s="574"/>
      <c r="CE62" s="574"/>
      <c r="CF62" s="574"/>
      <c r="CG62" s="574"/>
      <c r="CK62" s="92" t="s">
        <v>135</v>
      </c>
      <c r="CL62" s="92"/>
      <c r="CM62" s="92"/>
      <c r="CN62" s="92"/>
      <c r="CO62" s="92"/>
      <c r="CP62" s="92"/>
      <c r="CQ62" s="583">
        <f>CC62+BV62+BO62+BH62+BA62+AT62+AM62+AF62+Y62+R62+K62+D62</f>
        <v>139</v>
      </c>
      <c r="CR62" s="583"/>
      <c r="CS62" s="92"/>
      <c r="CT62" s="92"/>
      <c r="CU62" s="583">
        <f>SUM(D62:BZ62)</f>
        <v>139</v>
      </c>
      <c r="CV62" s="583"/>
      <c r="CW62" s="584"/>
      <c r="CX62" s="584"/>
      <c r="CY62" s="180"/>
      <c r="CZ62" s="92"/>
    </row>
    <row r="63" spans="2:104" s="91" customFormat="1" ht="8.4499999999999993" thickBot="1">
      <c r="B63" s="575" t="s">
        <v>136</v>
      </c>
      <c r="C63" s="576"/>
      <c r="D63" s="574">
        <f>SUM(D32,D37,D27,D22,D17,D12)</f>
        <v>3</v>
      </c>
      <c r="E63" s="574"/>
      <c r="F63" s="574"/>
      <c r="G63" s="574"/>
      <c r="H63" s="574"/>
      <c r="I63" s="92"/>
      <c r="J63" s="92"/>
      <c r="K63" s="574">
        <f>SUM(K42,K37,K32,K27,K17,K12)</f>
        <v>3</v>
      </c>
      <c r="L63" s="574"/>
      <c r="M63" s="574"/>
      <c r="N63" s="574"/>
      <c r="O63" s="574"/>
      <c r="P63" s="92"/>
      <c r="Q63" s="92"/>
      <c r="R63" s="574">
        <f>SUM(R37,AF27,R22,R27,R17,R12,BH32)</f>
        <v>3</v>
      </c>
      <c r="S63" s="581"/>
      <c r="T63" s="581"/>
      <c r="U63" s="581"/>
      <c r="V63" s="582"/>
      <c r="W63" s="92"/>
      <c r="X63" s="92"/>
      <c r="Y63" s="574">
        <f>SUM(Y37,Y42,Y32,Y27,Y22,Y17,Y12,BH32)</f>
        <v>3</v>
      </c>
      <c r="Z63" s="574"/>
      <c r="AA63" s="574"/>
      <c r="AB63" s="574"/>
      <c r="AC63" s="574"/>
      <c r="AD63" s="92"/>
      <c r="AE63" s="92"/>
      <c r="AF63" s="574">
        <f>SUM(AF42,AF37,AF32,AF22,AF12,AF17)</f>
        <v>3</v>
      </c>
      <c r="AG63" s="574"/>
      <c r="AH63" s="574"/>
      <c r="AI63" s="574"/>
      <c r="AJ63" s="574"/>
      <c r="AK63" s="92"/>
      <c r="AL63" s="92"/>
      <c r="AM63" s="574">
        <f>SUM(AM42,AM37,AM32,AM27,AM22,AM17,AM12)</f>
        <v>3</v>
      </c>
      <c r="AN63" s="574"/>
      <c r="AO63" s="574"/>
      <c r="AP63" s="574"/>
      <c r="AQ63" s="574"/>
      <c r="AR63" s="92"/>
      <c r="AS63" s="92"/>
      <c r="AT63" s="574">
        <f>SUM(AT42,AT37,AT32,AT27,AT22,AT17,AT12)</f>
        <v>3</v>
      </c>
      <c r="AU63" s="574"/>
      <c r="AV63" s="574"/>
      <c r="AW63" s="574"/>
      <c r="AX63" s="574"/>
      <c r="AY63" s="92"/>
      <c r="AZ63" s="92"/>
      <c r="BA63" s="574">
        <f>SUM(BA42,BA37,BA32,BA27,BA22,BA17,BA12)</f>
        <v>3</v>
      </c>
      <c r="BB63" s="574"/>
      <c r="BC63" s="574"/>
      <c r="BD63" s="574"/>
      <c r="BE63" s="574"/>
      <c r="BF63" s="92"/>
      <c r="BG63" s="92"/>
      <c r="BH63" s="574">
        <f>SUM(BH42,BH37,BH27,BH22,BH17,BH12)</f>
        <v>3</v>
      </c>
      <c r="BI63" s="574"/>
      <c r="BJ63" s="574"/>
      <c r="BK63" s="574"/>
      <c r="BL63" s="574"/>
      <c r="BM63" s="92"/>
      <c r="BN63" s="92"/>
      <c r="BO63" s="574">
        <f>SUM(BO12)</f>
        <v>6</v>
      </c>
      <c r="BP63" s="574"/>
      <c r="BQ63" s="574"/>
      <c r="BR63" s="574"/>
      <c r="BS63" s="574"/>
      <c r="BT63" s="92"/>
      <c r="BU63" s="92"/>
      <c r="BV63" s="574">
        <f>SUM(BV22,BV17,BV12)</f>
        <v>6</v>
      </c>
      <c r="BW63" s="574"/>
      <c r="BX63" s="574"/>
      <c r="BY63" s="574"/>
      <c r="BZ63" s="574"/>
      <c r="CA63" s="92"/>
      <c r="CB63" s="92"/>
      <c r="CC63" s="574">
        <f>SUM(CC22,CC17,CC12)</f>
        <v>6</v>
      </c>
      <c r="CD63" s="574"/>
      <c r="CE63" s="574"/>
      <c r="CF63" s="574"/>
      <c r="CG63" s="574"/>
      <c r="CK63" s="118" t="s">
        <v>137</v>
      </c>
      <c r="CL63" s="118"/>
      <c r="CM63" s="118"/>
      <c r="CN63" s="118"/>
      <c r="CO63" s="118"/>
      <c r="CP63" s="118"/>
      <c r="CQ63" s="583">
        <f>CC63+BV63+BO63+BH63+BA63+AT63+AM63+AF63+Y63+R63+K63+D63</f>
        <v>45</v>
      </c>
      <c r="CR63" s="583"/>
      <c r="CS63" s="118"/>
      <c r="CT63" s="118"/>
      <c r="CU63" s="585">
        <f>SUM(D63:BZ63)</f>
        <v>39</v>
      </c>
      <c r="CV63" s="585"/>
      <c r="CW63" s="586"/>
      <c r="CX63" s="586"/>
      <c r="CY63" s="180"/>
      <c r="CZ63" s="92"/>
    </row>
    <row r="64" spans="2:104" s="115" customFormat="1" ht="8.1">
      <c r="B64" s="577" t="s">
        <v>138</v>
      </c>
      <c r="C64" s="578"/>
      <c r="D64" s="579">
        <f>SUM(D62:E63)</f>
        <v>18</v>
      </c>
      <c r="E64" s="579"/>
      <c r="F64" s="579"/>
      <c r="G64" s="579"/>
      <c r="H64" s="579"/>
      <c r="I64" s="93"/>
      <c r="J64" s="93"/>
      <c r="K64" s="579">
        <f>SUM(K62,K63)</f>
        <v>17</v>
      </c>
      <c r="L64" s="579"/>
      <c r="M64" s="579"/>
      <c r="N64" s="579"/>
      <c r="O64" s="579"/>
      <c r="P64" s="93"/>
      <c r="Q64" s="93"/>
      <c r="R64" s="579">
        <f>SUM(R62:S63)</f>
        <v>17</v>
      </c>
      <c r="S64" s="579"/>
      <c r="T64" s="579"/>
      <c r="U64" s="579"/>
      <c r="V64" s="579"/>
      <c r="W64" s="93"/>
      <c r="X64" s="93"/>
      <c r="Y64" s="579">
        <f>SUM(Y62:Z63)</f>
        <v>17</v>
      </c>
      <c r="Z64" s="579"/>
      <c r="AA64" s="579"/>
      <c r="AB64" s="579"/>
      <c r="AC64" s="579"/>
      <c r="AD64" s="93"/>
      <c r="AE64" s="93"/>
      <c r="AF64" s="580">
        <f>SUM(AF62:AG63)</f>
        <v>18</v>
      </c>
      <c r="AG64" s="580"/>
      <c r="AH64" s="580"/>
      <c r="AI64" s="580"/>
      <c r="AJ64" s="580"/>
      <c r="AK64" s="93"/>
      <c r="AL64" s="93"/>
      <c r="AM64" s="580">
        <f>SUM(AM62:AN63)</f>
        <v>21</v>
      </c>
      <c r="AN64" s="580"/>
      <c r="AO64" s="580"/>
      <c r="AP64" s="580"/>
      <c r="AQ64" s="580"/>
      <c r="AR64" s="93"/>
      <c r="AS64" s="93"/>
      <c r="AT64" s="580">
        <f>SUM(AT62:AU63)</f>
        <v>20</v>
      </c>
      <c r="AU64" s="580"/>
      <c r="AV64" s="580"/>
      <c r="AW64" s="580"/>
      <c r="AX64" s="580"/>
      <c r="AY64" s="93"/>
      <c r="AZ64" s="93"/>
      <c r="BA64" s="579">
        <f>SUM(BA62:BB63)</f>
        <v>21</v>
      </c>
      <c r="BB64" s="579"/>
      <c r="BC64" s="579"/>
      <c r="BD64" s="579"/>
      <c r="BE64" s="579"/>
      <c r="BF64" s="93"/>
      <c r="BG64" s="93"/>
      <c r="BH64" s="579">
        <f>SUM(BH62,BH63)</f>
        <v>17</v>
      </c>
      <c r="BI64" s="579"/>
      <c r="BJ64" s="579"/>
      <c r="BK64" s="579"/>
      <c r="BL64" s="579"/>
      <c r="BM64" s="93"/>
      <c r="BN64" s="93"/>
      <c r="BO64" s="579">
        <f>SUM(BO62,BO63)</f>
        <v>6</v>
      </c>
      <c r="BP64" s="579"/>
      <c r="BQ64" s="579"/>
      <c r="BR64" s="579"/>
      <c r="BS64" s="579"/>
      <c r="BT64" s="93"/>
      <c r="BU64" s="93"/>
      <c r="BV64" s="579">
        <f>BV12</f>
        <v>6</v>
      </c>
      <c r="BW64" s="579"/>
      <c r="BX64" s="579"/>
      <c r="BY64" s="579"/>
      <c r="BZ64" s="579"/>
      <c r="CA64" s="93"/>
      <c r="CB64" s="93"/>
      <c r="CC64" s="579">
        <f>CC12</f>
        <v>6</v>
      </c>
      <c r="CD64" s="579"/>
      <c r="CE64" s="579"/>
      <c r="CF64" s="579"/>
      <c r="CG64" s="579"/>
      <c r="CK64" s="181" t="s">
        <v>139</v>
      </c>
      <c r="CL64" s="181"/>
      <c r="CM64" s="181"/>
      <c r="CN64" s="93"/>
      <c r="CO64" s="93"/>
      <c r="CP64" s="93"/>
      <c r="CQ64" s="583">
        <f>CC64+BV64+BO64+BH64+BA64+AT64+AM64+AF64+Y64+R64+K64+D64</f>
        <v>184</v>
      </c>
      <c r="CR64" s="583"/>
      <c r="CS64" s="93"/>
      <c r="CT64" s="93"/>
      <c r="CU64" s="583">
        <f>SUM(D64:CG64)</f>
        <v>184</v>
      </c>
      <c r="CV64" s="583"/>
      <c r="CW64" s="584"/>
      <c r="CX64" s="584"/>
      <c r="CY64" s="180"/>
      <c r="CZ64" s="93"/>
    </row>
    <row r="65" spans="5:52" ht="11.25" customHeight="1">
      <c r="E65" s="116"/>
      <c r="F65" s="116"/>
      <c r="G65" s="116"/>
      <c r="H65" s="116"/>
      <c r="I65" s="116"/>
      <c r="J65" s="120"/>
      <c r="K65" s="120"/>
      <c r="L65" s="120"/>
      <c r="M65" s="120"/>
      <c r="N65" s="120"/>
      <c r="O65" s="120"/>
      <c r="P65" s="120"/>
      <c r="Q65" s="120"/>
      <c r="R65" s="120"/>
      <c r="S65" s="120"/>
      <c r="T65" s="120"/>
      <c r="U65" s="116"/>
      <c r="V65" s="116"/>
      <c r="W65" s="116"/>
      <c r="X65" s="116"/>
      <c r="Y65" s="116"/>
      <c r="Z65" s="120"/>
      <c r="AA65" s="120"/>
      <c r="AB65" s="120"/>
      <c r="AC65" s="120"/>
      <c r="AD65" s="120"/>
      <c r="AE65" s="120"/>
      <c r="AF65" s="120"/>
      <c r="AG65" s="120"/>
      <c r="AH65" s="120"/>
      <c r="AI65" s="120"/>
      <c r="AJ65" s="120"/>
      <c r="AK65" s="116"/>
      <c r="AL65" s="116"/>
      <c r="AM65" s="116"/>
      <c r="AN65" s="116"/>
      <c r="AO65" s="116"/>
      <c r="AP65" s="121"/>
      <c r="AQ65" s="121"/>
      <c r="AR65" s="121"/>
      <c r="AS65" s="121"/>
      <c r="AT65" s="121"/>
      <c r="AU65" s="121"/>
      <c r="AV65" s="121"/>
      <c r="AW65" s="121"/>
      <c r="AX65" s="121"/>
      <c r="AY65" s="121"/>
      <c r="AZ65" s="121"/>
    </row>
    <row r="66" spans="5:52" ht="12.95">
      <c r="E66" s="116"/>
      <c r="F66" s="116"/>
      <c r="G66" s="116"/>
      <c r="H66" s="116"/>
      <c r="I66" s="116"/>
      <c r="J66" s="120"/>
      <c r="K66" s="120"/>
      <c r="L66" s="120"/>
      <c r="M66" s="120"/>
      <c r="N66" s="120"/>
      <c r="O66" s="344"/>
      <c r="P66" s="120"/>
      <c r="Q66" s="120"/>
      <c r="R66" s="120"/>
      <c r="S66" s="120"/>
      <c r="T66" s="120"/>
      <c r="U66" s="116"/>
      <c r="V66" s="116"/>
      <c r="W66" s="116"/>
      <c r="X66" s="116"/>
      <c r="Y66" s="116"/>
      <c r="Z66" s="120"/>
      <c r="AA66" s="120"/>
      <c r="AB66" s="120"/>
      <c r="AC66" s="120"/>
      <c r="AD66" s="120"/>
      <c r="AE66" s="120"/>
      <c r="AF66" s="120"/>
      <c r="AG66" s="120"/>
      <c r="AH66" s="120"/>
      <c r="AI66" s="120"/>
      <c r="AJ66" s="120"/>
      <c r="AK66" s="116"/>
      <c r="AL66" s="116"/>
      <c r="AM66" s="116"/>
      <c r="AN66" s="116"/>
      <c r="AO66" s="116"/>
      <c r="AP66" s="121"/>
      <c r="AQ66" s="121"/>
      <c r="AR66" s="121"/>
      <c r="AS66" s="121"/>
      <c r="AT66" s="121"/>
      <c r="AU66" s="121"/>
      <c r="AV66" s="121"/>
      <c r="AW66" s="121"/>
      <c r="AX66" s="121"/>
      <c r="AY66" s="121"/>
      <c r="AZ66" s="121"/>
    </row>
  </sheetData>
  <mergeCells count="395">
    <mergeCell ref="CQ62:CR62"/>
    <mergeCell ref="CQ63:CR63"/>
    <mergeCell ref="CQ64:CR64"/>
    <mergeCell ref="CU64:CV64"/>
    <mergeCell ref="CW64:CX64"/>
    <mergeCell ref="BA64:BE64"/>
    <mergeCell ref="BH64:BL64"/>
    <mergeCell ref="BO64:BS64"/>
    <mergeCell ref="BV64:BZ64"/>
    <mergeCell ref="CC64:CG64"/>
    <mergeCell ref="CU63:CV63"/>
    <mergeCell ref="CW63:CX63"/>
    <mergeCell ref="BA63:BE63"/>
    <mergeCell ref="BH63:BL63"/>
    <mergeCell ref="BO63:BS63"/>
    <mergeCell ref="BV63:BZ63"/>
    <mergeCell ref="CC63:CG63"/>
    <mergeCell ref="CC62:CG62"/>
    <mergeCell ref="CU62:CV62"/>
    <mergeCell ref="CW62:CX62"/>
    <mergeCell ref="B64:C64"/>
    <mergeCell ref="D64:H64"/>
    <mergeCell ref="K64:O64"/>
    <mergeCell ref="R64:V64"/>
    <mergeCell ref="Y64:AC64"/>
    <mergeCell ref="AF64:AJ64"/>
    <mergeCell ref="AM64:AQ64"/>
    <mergeCell ref="AT64:AX64"/>
    <mergeCell ref="AT63:AX63"/>
    <mergeCell ref="B63:C63"/>
    <mergeCell ref="D63:H63"/>
    <mergeCell ref="K63:O63"/>
    <mergeCell ref="R63:V63"/>
    <mergeCell ref="Y63:AC63"/>
    <mergeCell ref="AF63:AJ63"/>
    <mergeCell ref="AM63:AQ63"/>
    <mergeCell ref="AM62:AQ62"/>
    <mergeCell ref="AT62:AX62"/>
    <mergeCell ref="BA62:BE62"/>
    <mergeCell ref="BH62:BL62"/>
    <mergeCell ref="BO62:BS62"/>
    <mergeCell ref="BV62:BZ62"/>
    <mergeCell ref="B62:C62"/>
    <mergeCell ref="D62:H62"/>
    <mergeCell ref="K62:O62"/>
    <mergeCell ref="R62:V62"/>
    <mergeCell ref="Y62:AC62"/>
    <mergeCell ref="AF62:AJ62"/>
    <mergeCell ref="H56:L57"/>
    <mergeCell ref="M56:W57"/>
    <mergeCell ref="X56:AB57"/>
    <mergeCell ref="AC56:AM57"/>
    <mergeCell ref="AN56:AR57"/>
    <mergeCell ref="AS56:BC57"/>
    <mergeCell ref="H54:L55"/>
    <mergeCell ref="M54:W55"/>
    <mergeCell ref="X54:AB55"/>
    <mergeCell ref="AC54:AM55"/>
    <mergeCell ref="AN54:AR55"/>
    <mergeCell ref="AS54:BC55"/>
    <mergeCell ref="H52:L53"/>
    <mergeCell ref="M52:W53"/>
    <mergeCell ref="X52:AB53"/>
    <mergeCell ref="AC52:AM53"/>
    <mergeCell ref="AN52:AR53"/>
    <mergeCell ref="AS52:BC53"/>
    <mergeCell ref="CC47:CI47"/>
    <mergeCell ref="CC48:CI48"/>
    <mergeCell ref="H50:BC50"/>
    <mergeCell ref="CC50:CI50"/>
    <mergeCell ref="H51:W51"/>
    <mergeCell ref="X51:AM51"/>
    <mergeCell ref="AN51:BC51"/>
    <mergeCell ref="D47:E47"/>
    <mergeCell ref="K47:L47"/>
    <mergeCell ref="R47:S47"/>
    <mergeCell ref="AT47:AU47"/>
    <mergeCell ref="BA47:BB47"/>
    <mergeCell ref="BO47:BP47"/>
    <mergeCell ref="CC45:CI45"/>
    <mergeCell ref="D46:E46"/>
    <mergeCell ref="K46:L46"/>
    <mergeCell ref="R46:S46"/>
    <mergeCell ref="AT46:AU46"/>
    <mergeCell ref="BA46:BB46"/>
    <mergeCell ref="BO46:BP46"/>
    <mergeCell ref="CC46:CI46"/>
    <mergeCell ref="D45:H45"/>
    <mergeCell ref="K45:O45"/>
    <mergeCell ref="R45:V45"/>
    <mergeCell ref="AT45:AX45"/>
    <mergeCell ref="BA45:BE45"/>
    <mergeCell ref="BO45:BS45"/>
    <mergeCell ref="BH27:BI27"/>
    <mergeCell ref="CC37:CI37"/>
    <mergeCell ref="CC38:CI38"/>
    <mergeCell ref="Y42:Z42"/>
    <mergeCell ref="AF42:AG42"/>
    <mergeCell ref="D34:H34"/>
    <mergeCell ref="D35:H35"/>
    <mergeCell ref="CC43:CI43"/>
    <mergeCell ref="D44:H44"/>
    <mergeCell ref="K44:O44"/>
    <mergeCell ref="R44:V44"/>
    <mergeCell ref="AT44:AX44"/>
    <mergeCell ref="BA44:BE44"/>
    <mergeCell ref="BO44:BS44"/>
    <mergeCell ref="CC44:CI44"/>
    <mergeCell ref="CC42:CK42"/>
    <mergeCell ref="BH31:BI31"/>
    <mergeCell ref="CC41:CI41"/>
    <mergeCell ref="D32:E32"/>
    <mergeCell ref="K37:L37"/>
    <mergeCell ref="R37:S37"/>
    <mergeCell ref="Y37:Z37"/>
    <mergeCell ref="D37:E37"/>
    <mergeCell ref="BH30:BL30"/>
    <mergeCell ref="CC40:CI40"/>
    <mergeCell ref="CC39:CI39"/>
    <mergeCell ref="AF37:AG37"/>
    <mergeCell ref="K42:L42"/>
    <mergeCell ref="K27:L27"/>
    <mergeCell ref="D25:H25"/>
    <mergeCell ref="K25:O25"/>
    <mergeCell ref="R25:V25"/>
    <mergeCell ref="Y25:AC25"/>
    <mergeCell ref="Y41:Z41"/>
    <mergeCell ref="D40:H40"/>
    <mergeCell ref="D20:H20"/>
    <mergeCell ref="AF40:AJ40"/>
    <mergeCell ref="AF16:AG16"/>
    <mergeCell ref="AT26:AU26"/>
    <mergeCell ref="AM34:AQ34"/>
    <mergeCell ref="AF36:AG36"/>
    <mergeCell ref="BA31:BB31"/>
    <mergeCell ref="BA37:BB37"/>
    <mergeCell ref="BA36:BB36"/>
    <mergeCell ref="AM37:AN37"/>
    <mergeCell ref="Y32:Z32"/>
    <mergeCell ref="AM36:AN36"/>
    <mergeCell ref="Y31:Z31"/>
    <mergeCell ref="Y35:AC35"/>
    <mergeCell ref="Y34:AC34"/>
    <mergeCell ref="AT31:AU31"/>
    <mergeCell ref="AM35:AQ35"/>
    <mergeCell ref="Y30:AC30"/>
    <mergeCell ref="AF34:AJ34"/>
    <mergeCell ref="AT35:AX35"/>
    <mergeCell ref="AF35:AJ35"/>
    <mergeCell ref="AF20:AJ20"/>
    <mergeCell ref="AF25:AJ25"/>
    <mergeCell ref="AM32:AN32"/>
    <mergeCell ref="AT32:AU32"/>
    <mergeCell ref="BA32:BB32"/>
    <mergeCell ref="AF17:AG17"/>
    <mergeCell ref="AT27:AU27"/>
    <mergeCell ref="R22:S22"/>
    <mergeCell ref="AF22:AG22"/>
    <mergeCell ref="AF32:AG32"/>
    <mergeCell ref="AM39:AQ39"/>
    <mergeCell ref="BA22:BB22"/>
    <mergeCell ref="Y29:AC29"/>
    <mergeCell ref="AM29:AQ29"/>
    <mergeCell ref="AT29:AX29"/>
    <mergeCell ref="BA29:BE29"/>
    <mergeCell ref="R20:V20"/>
    <mergeCell ref="AM31:AN31"/>
    <mergeCell ref="AM30:AQ30"/>
    <mergeCell ref="AT30:AX30"/>
    <mergeCell ref="R26:S26"/>
    <mergeCell ref="Y26:Z26"/>
    <mergeCell ref="R36:S36"/>
    <mergeCell ref="Y36:Z36"/>
    <mergeCell ref="Y22:Z22"/>
    <mergeCell ref="Y17:Z17"/>
    <mergeCell ref="R21:S21"/>
    <mergeCell ref="R35:V35"/>
    <mergeCell ref="R34:V34"/>
    <mergeCell ref="K40:O40"/>
    <mergeCell ref="Y40:AC40"/>
    <mergeCell ref="D31:E31"/>
    <mergeCell ref="K36:L36"/>
    <mergeCell ref="D36:E36"/>
    <mergeCell ref="R42:S42"/>
    <mergeCell ref="R40:V40"/>
    <mergeCell ref="D19:H19"/>
    <mergeCell ref="AF39:AJ39"/>
    <mergeCell ref="Y19:AC19"/>
    <mergeCell ref="R19:V19"/>
    <mergeCell ref="AF19:AJ19"/>
    <mergeCell ref="Y20:AC20"/>
    <mergeCell ref="AF24:AJ24"/>
    <mergeCell ref="AF21:AG21"/>
    <mergeCell ref="R27:S27"/>
    <mergeCell ref="Y27:Z27"/>
    <mergeCell ref="K30:O30"/>
    <mergeCell ref="K39:O39"/>
    <mergeCell ref="K26:L26"/>
    <mergeCell ref="D21:E21"/>
    <mergeCell ref="K41:L41"/>
    <mergeCell ref="AF27:AG27"/>
    <mergeCell ref="K29:O29"/>
    <mergeCell ref="R41:S41"/>
    <mergeCell ref="Y16:Z16"/>
    <mergeCell ref="BH42:BI42"/>
    <mergeCell ref="AT41:AU41"/>
    <mergeCell ref="BA21:BB21"/>
    <mergeCell ref="BH41:BI41"/>
    <mergeCell ref="AM16:AN16"/>
    <mergeCell ref="AM24:AQ24"/>
    <mergeCell ref="AT19:AX19"/>
    <mergeCell ref="BA24:BE24"/>
    <mergeCell ref="BH19:BL19"/>
    <mergeCell ref="AM19:AQ19"/>
    <mergeCell ref="AM20:AQ20"/>
    <mergeCell ref="AM25:AQ25"/>
    <mergeCell ref="AT20:AX20"/>
    <mergeCell ref="BA25:BE25"/>
    <mergeCell ref="BH20:BL20"/>
    <mergeCell ref="AM22:AN22"/>
    <mergeCell ref="AF41:AG41"/>
    <mergeCell ref="BA41:BB41"/>
    <mergeCell ref="BA42:BB42"/>
    <mergeCell ref="AM41:AN41"/>
    <mergeCell ref="AM42:AN42"/>
    <mergeCell ref="AF26:AG26"/>
    <mergeCell ref="BH14:BL14"/>
    <mergeCell ref="AT25:AX25"/>
    <mergeCell ref="BH15:BL15"/>
    <mergeCell ref="BH16:BI16"/>
    <mergeCell ref="BH17:BI17"/>
    <mergeCell ref="AT40:AX40"/>
    <mergeCell ref="BA20:BE20"/>
    <mergeCell ref="BH11:BI11"/>
    <mergeCell ref="D16:E16"/>
    <mergeCell ref="K16:L16"/>
    <mergeCell ref="R16:S16"/>
    <mergeCell ref="D27:E27"/>
    <mergeCell ref="D26:E26"/>
    <mergeCell ref="D22:E22"/>
    <mergeCell ref="D30:H30"/>
    <mergeCell ref="K35:O35"/>
    <mergeCell ref="D29:H29"/>
    <mergeCell ref="K34:O34"/>
    <mergeCell ref="K32:L32"/>
    <mergeCell ref="D24:H24"/>
    <mergeCell ref="K24:O24"/>
    <mergeCell ref="R24:V24"/>
    <mergeCell ref="Y24:AC24"/>
    <mergeCell ref="AM40:AQ40"/>
    <mergeCell ref="AM17:AN17"/>
    <mergeCell ref="AT42:AU42"/>
    <mergeCell ref="BH22:BI22"/>
    <mergeCell ref="AM26:AN26"/>
    <mergeCell ref="AT21:AU21"/>
    <mergeCell ref="AM27:AN27"/>
    <mergeCell ref="AT22:AU22"/>
    <mergeCell ref="BA27:BB27"/>
    <mergeCell ref="AM21:AN21"/>
    <mergeCell ref="AT24:AX24"/>
    <mergeCell ref="BA34:BE34"/>
    <mergeCell ref="BA26:BB26"/>
    <mergeCell ref="BH21:BI21"/>
    <mergeCell ref="BA30:BE30"/>
    <mergeCell ref="BH35:BL35"/>
    <mergeCell ref="BA35:BE35"/>
    <mergeCell ref="BH34:BL34"/>
    <mergeCell ref="BH26:BI26"/>
    <mergeCell ref="BH25:BL25"/>
    <mergeCell ref="BH24:BL24"/>
    <mergeCell ref="BH36:BI36"/>
    <mergeCell ref="BH37:BI37"/>
    <mergeCell ref="BH32:BI32"/>
    <mergeCell ref="BH29:BL29"/>
    <mergeCell ref="CJ15:CN15"/>
    <mergeCell ref="AT39:AX39"/>
    <mergeCell ref="BA19:BE19"/>
    <mergeCell ref="BH39:BL39"/>
    <mergeCell ref="CJ14:CN14"/>
    <mergeCell ref="AM14:AQ14"/>
    <mergeCell ref="BA39:BE39"/>
    <mergeCell ref="BA40:BE40"/>
    <mergeCell ref="CJ22:CK22"/>
    <mergeCell ref="CJ17:CK17"/>
    <mergeCell ref="CJ16:CK16"/>
    <mergeCell ref="CJ20:CN20"/>
    <mergeCell ref="CJ19:CN19"/>
    <mergeCell ref="CJ21:CK21"/>
    <mergeCell ref="AT17:AU17"/>
    <mergeCell ref="BA17:BB17"/>
    <mergeCell ref="AM15:AQ15"/>
    <mergeCell ref="CC36:CI36"/>
    <mergeCell ref="CC35:CK35"/>
    <mergeCell ref="BH40:BL40"/>
    <mergeCell ref="AT16:AU16"/>
    <mergeCell ref="BA16:BB16"/>
    <mergeCell ref="AT15:AX15"/>
    <mergeCell ref="BA15:BE15"/>
    <mergeCell ref="Y15:AC15"/>
    <mergeCell ref="D14:H14"/>
    <mergeCell ref="K14:O14"/>
    <mergeCell ref="R14:V14"/>
    <mergeCell ref="R39:V39"/>
    <mergeCell ref="Y14:AC14"/>
    <mergeCell ref="BH12:BI12"/>
    <mergeCell ref="BV12:BW12"/>
    <mergeCell ref="D12:E12"/>
    <mergeCell ref="K12:L12"/>
    <mergeCell ref="R12:S12"/>
    <mergeCell ref="Y12:Z12"/>
    <mergeCell ref="AF12:AG12"/>
    <mergeCell ref="AM12:AN12"/>
    <mergeCell ref="R17:S17"/>
    <mergeCell ref="Y21:Z21"/>
    <mergeCell ref="AF31:AG31"/>
    <mergeCell ref="AF30:AJ30"/>
    <mergeCell ref="AF29:AJ29"/>
    <mergeCell ref="Y39:AC39"/>
    <mergeCell ref="K31:L31"/>
    <mergeCell ref="AF15:AJ15"/>
    <mergeCell ref="D17:E17"/>
    <mergeCell ref="K17:L17"/>
    <mergeCell ref="BV11:BW11"/>
    <mergeCell ref="CC11:CD11"/>
    <mergeCell ref="D11:E11"/>
    <mergeCell ref="K11:L11"/>
    <mergeCell ref="R11:S11"/>
    <mergeCell ref="Y11:Z11"/>
    <mergeCell ref="AF11:AG11"/>
    <mergeCell ref="AM11:AN11"/>
    <mergeCell ref="AT12:AU12"/>
    <mergeCell ref="BO11:BP11"/>
    <mergeCell ref="BO12:BP12"/>
    <mergeCell ref="AT11:AU11"/>
    <mergeCell ref="BA11:BB11"/>
    <mergeCell ref="BA12:BB12"/>
    <mergeCell ref="D15:H15"/>
    <mergeCell ref="K15:O15"/>
    <mergeCell ref="R15:V15"/>
    <mergeCell ref="CC12:CD12"/>
    <mergeCell ref="AF14:AJ14"/>
    <mergeCell ref="AT9:AX9"/>
    <mergeCell ref="AT14:AX14"/>
    <mergeCell ref="BA14:BE14"/>
    <mergeCell ref="BH9:BL9"/>
    <mergeCell ref="BV9:BZ9"/>
    <mergeCell ref="CC9:CG9"/>
    <mergeCell ref="D9:H9"/>
    <mergeCell ref="K9:O9"/>
    <mergeCell ref="R9:V9"/>
    <mergeCell ref="Y9:AC9"/>
    <mergeCell ref="AF9:AJ9"/>
    <mergeCell ref="AM9:AQ9"/>
    <mergeCell ref="AT10:AX10"/>
    <mergeCell ref="BO9:BS9"/>
    <mergeCell ref="BH10:BL10"/>
    <mergeCell ref="BV10:BZ10"/>
    <mergeCell ref="CC10:CG10"/>
    <mergeCell ref="D10:H10"/>
    <mergeCell ref="K10:O10"/>
    <mergeCell ref="R10:V10"/>
    <mergeCell ref="Y10:AC10"/>
    <mergeCell ref="AF10:AJ10"/>
    <mergeCell ref="AM10:AQ10"/>
    <mergeCell ref="BO10:BS10"/>
    <mergeCell ref="BO7:BS7"/>
    <mergeCell ref="BV7:BZ7"/>
    <mergeCell ref="CC7:CG7"/>
    <mergeCell ref="CJ7:CN7"/>
    <mergeCell ref="BA9:BE9"/>
    <mergeCell ref="BA10:BE10"/>
    <mergeCell ref="CQ7:CU7"/>
    <mergeCell ref="CX7:DB7"/>
    <mergeCell ref="CJ6:CQ6"/>
    <mergeCell ref="D7:H7"/>
    <mergeCell ref="K7:O7"/>
    <mergeCell ref="R7:V7"/>
    <mergeCell ref="Y7:AC7"/>
    <mergeCell ref="AF7:AJ7"/>
    <mergeCell ref="AM7:AQ7"/>
    <mergeCell ref="AT7:AX7"/>
    <mergeCell ref="BA7:BE7"/>
    <mergeCell ref="BH7:BL7"/>
    <mergeCell ref="CB3:CC3"/>
    <mergeCell ref="C4:AB4"/>
    <mergeCell ref="D6:V6"/>
    <mergeCell ref="Y6:AQ6"/>
    <mergeCell ref="AT6:BL6"/>
    <mergeCell ref="BO6:CG6"/>
    <mergeCell ref="C1:AB1"/>
    <mergeCell ref="BU1:BV1"/>
    <mergeCell ref="BW1:BX1"/>
    <mergeCell ref="BY1:BZ1"/>
    <mergeCell ref="C3:AB3"/>
    <mergeCell ref="BN3:CA3"/>
  </mergeCells>
  <pageMargins left="0.23622047244094491" right="0.23622047244094491" top="1.1417322834645669" bottom="0.35433070866141736" header="0.31496062992125984" footer="0.31496062992125984"/>
  <pageSetup scale="48" orientation="landscape" r:id="rId1"/>
  <colBreaks count="2" manualBreakCount="2">
    <brk id="96" max="70" man="1"/>
    <brk id="10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9:M115"/>
  <sheetViews>
    <sheetView topLeftCell="A65" zoomScale="112" zoomScaleNormal="112" workbookViewId="0">
      <selection activeCell="B53" sqref="B53"/>
    </sheetView>
  </sheetViews>
  <sheetFormatPr defaultColWidth="21.42578125" defaultRowHeight="12.6"/>
  <cols>
    <col min="1" max="1" width="8.140625" customWidth="1"/>
    <col min="2" max="2" width="15.85546875" customWidth="1"/>
    <col min="3" max="3" width="5.85546875" bestFit="1" customWidth="1"/>
    <col min="4" max="4" width="9.140625" customWidth="1"/>
    <col min="5" max="5" width="15.85546875" customWidth="1"/>
    <col min="6" max="6" width="5.85546875" bestFit="1" customWidth="1"/>
    <col min="7" max="7" width="8.42578125" customWidth="1"/>
    <col min="8" max="8" width="15" bestFit="1" customWidth="1"/>
    <col min="9" max="9" width="6.42578125" bestFit="1" customWidth="1"/>
  </cols>
  <sheetData>
    <row r="19" spans="1:9" ht="23.1">
      <c r="A19" s="597" t="s">
        <v>140</v>
      </c>
      <c r="B19" s="597"/>
      <c r="C19" s="597"/>
      <c r="D19" s="597"/>
      <c r="E19" s="597"/>
      <c r="F19" s="597"/>
      <c r="G19" s="597"/>
      <c r="H19" s="597"/>
      <c r="I19" s="597"/>
    </row>
    <row r="21" spans="1:9" ht="90.6">
      <c r="A21" s="598" t="s">
        <v>141</v>
      </c>
      <c r="B21" s="598"/>
      <c r="C21" s="598"/>
      <c r="D21" s="598"/>
      <c r="E21" s="598"/>
      <c r="F21" s="598"/>
      <c r="G21" s="598"/>
      <c r="H21" s="598"/>
      <c r="I21" s="598"/>
    </row>
    <row r="23" spans="1:9" ht="24.95">
      <c r="A23" s="599" t="s">
        <v>142</v>
      </c>
      <c r="B23" s="599"/>
      <c r="C23" s="599"/>
      <c r="D23" s="599"/>
      <c r="E23" s="599"/>
      <c r="F23" s="599"/>
      <c r="G23" s="599"/>
      <c r="H23" s="599"/>
      <c r="I23" s="599"/>
    </row>
    <row r="24" spans="1:9" ht="14.1">
      <c r="A24" s="243"/>
      <c r="B24" s="243"/>
      <c r="C24" s="243"/>
      <c r="D24" s="243"/>
      <c r="E24" s="243"/>
      <c r="F24" s="243"/>
      <c r="G24" s="243"/>
      <c r="H24" s="243"/>
      <c r="I24" s="243"/>
    </row>
    <row r="25" spans="1:9" ht="14.1">
      <c r="A25" s="600" t="s">
        <v>143</v>
      </c>
      <c r="B25" s="600"/>
      <c r="C25" s="600"/>
      <c r="D25" s="600"/>
      <c r="E25" s="600"/>
      <c r="F25" s="600"/>
      <c r="G25" s="600"/>
      <c r="H25" s="600"/>
      <c r="I25" s="600"/>
    </row>
    <row r="27" spans="1:9" ht="18">
      <c r="A27" s="601" t="s">
        <v>144</v>
      </c>
      <c r="B27" s="601"/>
      <c r="C27" s="601"/>
      <c r="D27" s="601"/>
      <c r="E27" s="601"/>
      <c r="F27" s="601"/>
      <c r="G27" s="601"/>
      <c r="H27" s="601"/>
      <c r="I27" s="601"/>
    </row>
    <row r="30" spans="1:9" ht="15" customHeight="1">
      <c r="A30" s="596" t="s">
        <v>145</v>
      </c>
      <c r="B30" s="596"/>
      <c r="C30" s="596"/>
      <c r="D30" s="596"/>
      <c r="E30" s="596"/>
      <c r="F30" s="596"/>
      <c r="G30" s="596"/>
      <c r="H30" s="596"/>
      <c r="I30" s="596"/>
    </row>
    <row r="31" spans="1:9">
      <c r="A31" s="596"/>
      <c r="B31" s="596"/>
      <c r="C31" s="596"/>
      <c r="D31" s="596"/>
      <c r="E31" s="596"/>
      <c r="F31" s="596"/>
      <c r="G31" s="596"/>
      <c r="H31" s="596"/>
      <c r="I31" s="596"/>
    </row>
    <row r="32" spans="1:9">
      <c r="A32" s="596"/>
      <c r="B32" s="596"/>
      <c r="C32" s="596"/>
      <c r="D32" s="596"/>
      <c r="E32" s="596"/>
      <c r="F32" s="596"/>
      <c r="G32" s="596"/>
      <c r="H32" s="596"/>
      <c r="I32" s="596"/>
    </row>
    <row r="33" spans="1:9">
      <c r="A33" s="596"/>
      <c r="B33" s="596"/>
      <c r="C33" s="596"/>
      <c r="D33" s="596"/>
      <c r="E33" s="596"/>
      <c r="F33" s="596"/>
      <c r="G33" s="596"/>
      <c r="H33" s="596"/>
      <c r="I33" s="596"/>
    </row>
    <row r="34" spans="1:9">
      <c r="A34" s="596"/>
      <c r="B34" s="596"/>
      <c r="C34" s="596"/>
      <c r="D34" s="596"/>
      <c r="E34" s="596"/>
      <c r="F34" s="596"/>
      <c r="G34" s="596"/>
      <c r="H34" s="596"/>
      <c r="I34" s="596"/>
    </row>
    <row r="35" spans="1:9">
      <c r="A35" s="596"/>
      <c r="B35" s="596"/>
      <c r="C35" s="596"/>
      <c r="D35" s="596"/>
      <c r="E35" s="596"/>
      <c r="F35" s="596"/>
      <c r="G35" s="596"/>
      <c r="H35" s="596"/>
      <c r="I35" s="596"/>
    </row>
    <row r="36" spans="1:9">
      <c r="A36" s="596"/>
      <c r="B36" s="596"/>
      <c r="C36" s="596"/>
      <c r="D36" s="596"/>
      <c r="E36" s="596"/>
      <c r="F36" s="596"/>
      <c r="G36" s="596"/>
      <c r="H36" s="596"/>
      <c r="I36" s="596"/>
    </row>
    <row r="37" spans="1:9">
      <c r="A37" s="596"/>
      <c r="B37" s="596"/>
      <c r="C37" s="596"/>
      <c r="D37" s="596"/>
      <c r="E37" s="596"/>
      <c r="F37" s="596"/>
      <c r="G37" s="596"/>
      <c r="H37" s="596"/>
      <c r="I37" s="596"/>
    </row>
    <row r="38" spans="1:9">
      <c r="A38" s="596"/>
      <c r="B38" s="596"/>
      <c r="C38" s="596"/>
      <c r="D38" s="596"/>
      <c r="E38" s="596"/>
      <c r="F38" s="596"/>
      <c r="G38" s="596"/>
      <c r="H38" s="596"/>
      <c r="I38" s="596"/>
    </row>
    <row r="39" spans="1:9" ht="15.6">
      <c r="A39" s="244"/>
      <c r="B39" s="244"/>
      <c r="C39" s="244"/>
      <c r="D39" s="244"/>
      <c r="E39" s="244"/>
      <c r="F39" s="244"/>
      <c r="G39" s="244"/>
      <c r="H39" s="244"/>
      <c r="I39" s="244"/>
    </row>
    <row r="40" spans="1:9" ht="15.6">
      <c r="A40" s="244"/>
      <c r="B40" s="244"/>
      <c r="C40" s="244"/>
      <c r="D40" s="244"/>
      <c r="E40" s="244"/>
      <c r="F40" s="244"/>
      <c r="G40" s="244"/>
      <c r="H40" s="244"/>
      <c r="I40" s="244"/>
    </row>
    <row r="41" spans="1:9" ht="15.6">
      <c r="A41" s="244"/>
      <c r="B41" s="244"/>
      <c r="C41" s="244"/>
      <c r="D41" s="244"/>
      <c r="E41" s="244"/>
      <c r="F41" s="244"/>
      <c r="G41" s="244"/>
      <c r="H41" s="244"/>
      <c r="I41" s="244"/>
    </row>
    <row r="42" spans="1:9" ht="12.95" thickBot="1"/>
    <row r="43" spans="1:9" ht="18.600000000000001" thickBot="1">
      <c r="A43" s="605" t="s">
        <v>146</v>
      </c>
      <c r="B43" s="606"/>
      <c r="C43" s="606"/>
      <c r="D43" s="606"/>
      <c r="E43" s="606"/>
      <c r="F43" s="606"/>
      <c r="G43" s="606"/>
      <c r="H43" s="606"/>
      <c r="I43" s="607"/>
    </row>
    <row r="44" spans="1:9">
      <c r="A44" s="608"/>
      <c r="B44" s="609"/>
      <c r="C44" s="609"/>
      <c r="D44" s="609"/>
      <c r="E44" s="609"/>
      <c r="F44" s="609"/>
      <c r="G44" s="609"/>
      <c r="H44" s="609"/>
      <c r="I44" s="610"/>
    </row>
    <row r="45" spans="1:9" ht="14.1">
      <c r="A45" s="611" t="s">
        <v>147</v>
      </c>
      <c r="B45" s="612"/>
      <c r="C45" s="612"/>
      <c r="D45" s="612"/>
      <c r="E45" s="612"/>
      <c r="F45" s="612"/>
      <c r="G45" s="612"/>
      <c r="H45" s="612"/>
      <c r="I45" s="613"/>
    </row>
    <row r="46" spans="1:9" ht="12.95" thickBot="1">
      <c r="A46" s="614"/>
      <c r="B46" s="615"/>
      <c r="C46" s="615"/>
      <c r="D46" s="615"/>
      <c r="E46" s="615"/>
      <c r="F46" s="615"/>
      <c r="G46" s="615"/>
      <c r="H46" s="615"/>
      <c r="I46" s="616"/>
    </row>
    <row r="47" spans="1:9">
      <c r="A47" s="617" t="s">
        <v>148</v>
      </c>
      <c r="B47" s="618"/>
      <c r="C47" s="619"/>
      <c r="D47" s="617" t="s">
        <v>149</v>
      </c>
      <c r="E47" s="618"/>
      <c r="F47" s="619"/>
      <c r="G47" s="617" t="s">
        <v>150</v>
      </c>
      <c r="H47" s="618"/>
      <c r="I47" s="620"/>
    </row>
    <row r="48" spans="1:9">
      <c r="A48" s="345" t="s">
        <v>151</v>
      </c>
      <c r="B48" s="256" t="s">
        <v>152</v>
      </c>
      <c r="C48" s="346" t="s">
        <v>153</v>
      </c>
      <c r="D48" s="345" t="s">
        <v>151</v>
      </c>
      <c r="E48" s="256" t="s">
        <v>152</v>
      </c>
      <c r="F48" s="346" t="s">
        <v>153</v>
      </c>
      <c r="G48" s="345" t="s">
        <v>151</v>
      </c>
      <c r="H48" s="256" t="s">
        <v>152</v>
      </c>
      <c r="I48" s="347" t="s">
        <v>153</v>
      </c>
    </row>
    <row r="49" spans="1:11" ht="18.600000000000001" thickBot="1">
      <c r="A49" s="348" t="s">
        <v>20</v>
      </c>
      <c r="B49" s="349" t="s">
        <v>154</v>
      </c>
      <c r="C49" s="350">
        <v>3</v>
      </c>
      <c r="D49" s="348" t="s">
        <v>21</v>
      </c>
      <c r="E49" s="349" t="s">
        <v>155</v>
      </c>
      <c r="F49" s="350">
        <v>3</v>
      </c>
      <c r="G49" s="348" t="s">
        <v>22</v>
      </c>
      <c r="H49" s="349" t="s">
        <v>156</v>
      </c>
      <c r="I49" s="351">
        <v>3</v>
      </c>
      <c r="K49" s="247"/>
    </row>
    <row r="50" spans="1:11" ht="45">
      <c r="A50" s="348" t="s">
        <v>34</v>
      </c>
      <c r="B50" s="349" t="s">
        <v>157</v>
      </c>
      <c r="C50" s="350">
        <v>4</v>
      </c>
      <c r="D50" s="348" t="s">
        <v>158</v>
      </c>
      <c r="E50" s="349" t="s">
        <v>159</v>
      </c>
      <c r="F50" s="350">
        <v>4</v>
      </c>
      <c r="G50" s="348" t="s">
        <v>36</v>
      </c>
      <c r="H50" s="349" t="s">
        <v>160</v>
      </c>
      <c r="I50" s="351">
        <v>4</v>
      </c>
    </row>
    <row r="51" spans="1:11" ht="18">
      <c r="A51" s="348" t="s">
        <v>45</v>
      </c>
      <c r="B51" s="349" t="s">
        <v>161</v>
      </c>
      <c r="C51" s="350">
        <v>1</v>
      </c>
      <c r="D51" s="348" t="s">
        <v>55</v>
      </c>
      <c r="E51" s="349" t="s">
        <v>162</v>
      </c>
      <c r="F51" s="350">
        <v>2</v>
      </c>
      <c r="G51" s="348" t="s">
        <v>46</v>
      </c>
      <c r="H51" s="349" t="s">
        <v>163</v>
      </c>
      <c r="I51" s="351">
        <v>3</v>
      </c>
    </row>
    <row r="52" spans="1:11" ht="18">
      <c r="A52" s="348" t="s">
        <v>164</v>
      </c>
      <c r="B52" s="349" t="s">
        <v>165</v>
      </c>
      <c r="C52" s="350">
        <v>2</v>
      </c>
      <c r="D52" s="348" t="s">
        <v>66</v>
      </c>
      <c r="E52" s="349" t="s">
        <v>166</v>
      </c>
      <c r="F52" s="350">
        <v>3</v>
      </c>
      <c r="G52" s="348" t="s">
        <v>56</v>
      </c>
      <c r="H52" s="349" t="s">
        <v>167</v>
      </c>
      <c r="I52" s="351">
        <v>2</v>
      </c>
    </row>
    <row r="53" spans="1:11">
      <c r="A53" s="348" t="s">
        <v>65</v>
      </c>
      <c r="B53" s="349" t="s">
        <v>168</v>
      </c>
      <c r="C53" s="350">
        <v>3</v>
      </c>
      <c r="D53" s="348" t="s">
        <v>74</v>
      </c>
      <c r="E53" s="349" t="s">
        <v>169</v>
      </c>
      <c r="F53" s="350">
        <v>2</v>
      </c>
      <c r="G53" s="352" t="s">
        <v>75</v>
      </c>
      <c r="H53" s="353" t="s">
        <v>170</v>
      </c>
      <c r="I53" s="351">
        <v>2</v>
      </c>
    </row>
    <row r="54" spans="1:11">
      <c r="A54" s="348" t="s">
        <v>73</v>
      </c>
      <c r="B54" s="349" t="s">
        <v>171</v>
      </c>
      <c r="C54" s="350">
        <v>2</v>
      </c>
      <c r="D54" s="352" t="s">
        <v>172</v>
      </c>
      <c r="E54" s="353" t="s">
        <v>173</v>
      </c>
      <c r="F54" s="350">
        <v>3</v>
      </c>
      <c r="G54" s="352" t="s">
        <v>89</v>
      </c>
      <c r="H54" s="353" t="s">
        <v>174</v>
      </c>
      <c r="I54" s="351">
        <v>3</v>
      </c>
    </row>
    <row r="55" spans="1:11" ht="12.95" thickBot="1">
      <c r="A55" s="354" t="s">
        <v>175</v>
      </c>
      <c r="B55" s="355" t="s">
        <v>176</v>
      </c>
      <c r="C55" s="356">
        <v>3</v>
      </c>
      <c r="D55" s="357"/>
      <c r="E55" s="358"/>
      <c r="F55" s="359"/>
      <c r="G55" s="360"/>
      <c r="H55" s="361"/>
      <c r="I55" s="362"/>
    </row>
    <row r="56" spans="1:11" ht="12.95" thickBot="1">
      <c r="A56" s="621" t="s">
        <v>107</v>
      </c>
      <c r="B56" s="622"/>
      <c r="C56" s="363">
        <f>SUM(C49:C55)</f>
        <v>18</v>
      </c>
      <c r="D56" s="621" t="s">
        <v>107</v>
      </c>
      <c r="E56" s="622"/>
      <c r="F56" s="363">
        <f>SUM(F49:F54)</f>
        <v>17</v>
      </c>
      <c r="G56" s="621" t="s">
        <v>107</v>
      </c>
      <c r="H56" s="622"/>
      <c r="I56" s="363">
        <f>SUM(I49:I55)</f>
        <v>17</v>
      </c>
    </row>
    <row r="58" spans="1:11" ht="12.95" thickBot="1"/>
    <row r="59" spans="1:11">
      <c r="A59" s="623"/>
      <c r="B59" s="624"/>
      <c r="C59" s="624"/>
      <c r="D59" s="624"/>
      <c r="E59" s="624"/>
      <c r="F59" s="624"/>
      <c r="G59" s="624"/>
      <c r="H59" s="624"/>
      <c r="I59" s="625"/>
    </row>
    <row r="60" spans="1:11" ht="14.1">
      <c r="A60" s="626" t="s">
        <v>177</v>
      </c>
      <c r="B60" s="627"/>
      <c r="C60" s="627"/>
      <c r="D60" s="627"/>
      <c r="E60" s="627"/>
      <c r="F60" s="627"/>
      <c r="G60" s="627"/>
      <c r="H60" s="627"/>
      <c r="I60" s="628"/>
    </row>
    <row r="61" spans="1:11" ht="12.95" thickBot="1">
      <c r="A61" s="602"/>
      <c r="B61" s="603"/>
      <c r="C61" s="603"/>
      <c r="D61" s="603"/>
      <c r="E61" s="603"/>
      <c r="F61" s="603"/>
      <c r="G61" s="603"/>
      <c r="H61" s="603"/>
      <c r="I61" s="604"/>
    </row>
    <row r="62" spans="1:11">
      <c r="A62" s="629" t="s">
        <v>148</v>
      </c>
      <c r="B62" s="630"/>
      <c r="C62" s="631"/>
      <c r="D62" s="632" t="s">
        <v>149</v>
      </c>
      <c r="E62" s="618"/>
      <c r="F62" s="620"/>
      <c r="G62" s="632" t="s">
        <v>150</v>
      </c>
      <c r="H62" s="618"/>
      <c r="I62" s="620"/>
    </row>
    <row r="63" spans="1:11">
      <c r="A63" s="345" t="s">
        <v>151</v>
      </c>
      <c r="B63" s="256" t="s">
        <v>152</v>
      </c>
      <c r="C63" s="347" t="s">
        <v>153</v>
      </c>
      <c r="D63" s="364" t="s">
        <v>151</v>
      </c>
      <c r="E63" s="256" t="s">
        <v>152</v>
      </c>
      <c r="F63" s="347" t="s">
        <v>153</v>
      </c>
      <c r="G63" s="364" t="s">
        <v>151</v>
      </c>
      <c r="H63" s="256" t="s">
        <v>152</v>
      </c>
      <c r="I63" s="347" t="s">
        <v>153</v>
      </c>
    </row>
    <row r="64" spans="1:11" ht="18">
      <c r="A64" s="352" t="s">
        <v>23</v>
      </c>
      <c r="B64" s="353" t="s">
        <v>178</v>
      </c>
      <c r="C64" s="351">
        <v>3</v>
      </c>
      <c r="D64" s="365" t="s">
        <v>24</v>
      </c>
      <c r="E64" s="353" t="s">
        <v>179</v>
      </c>
      <c r="F64" s="351">
        <v>3</v>
      </c>
      <c r="G64" s="365" t="s">
        <v>25</v>
      </c>
      <c r="H64" s="353" t="s">
        <v>180</v>
      </c>
      <c r="I64" s="351">
        <v>3</v>
      </c>
    </row>
    <row r="65" spans="1:13" ht="45">
      <c r="A65" s="352" t="s">
        <v>181</v>
      </c>
      <c r="B65" s="353" t="s">
        <v>182</v>
      </c>
      <c r="C65" s="351">
        <v>4</v>
      </c>
      <c r="D65" s="365" t="s">
        <v>38</v>
      </c>
      <c r="E65" s="353" t="s">
        <v>183</v>
      </c>
      <c r="F65" s="351">
        <v>4</v>
      </c>
      <c r="G65" s="365" t="s">
        <v>39</v>
      </c>
      <c r="H65" s="353" t="s">
        <v>184</v>
      </c>
      <c r="I65" s="351">
        <v>1</v>
      </c>
    </row>
    <row r="66" spans="1:13" ht="18">
      <c r="A66" s="352" t="s">
        <v>47</v>
      </c>
      <c r="B66" s="353" t="s">
        <v>185</v>
      </c>
      <c r="C66" s="351">
        <v>1</v>
      </c>
      <c r="D66" s="366" t="s">
        <v>48</v>
      </c>
      <c r="E66" s="349" t="s">
        <v>186</v>
      </c>
      <c r="F66" s="351">
        <v>3</v>
      </c>
      <c r="G66" s="365" t="s">
        <v>49</v>
      </c>
      <c r="H66" s="353" t="s">
        <v>187</v>
      </c>
      <c r="I66" s="351">
        <v>3</v>
      </c>
    </row>
    <row r="67" spans="1:13" ht="36.6">
      <c r="A67" s="352" t="s">
        <v>57</v>
      </c>
      <c r="B67" s="353" t="s">
        <v>188</v>
      </c>
      <c r="C67" s="351">
        <v>3</v>
      </c>
      <c r="D67" s="365" t="s">
        <v>68</v>
      </c>
      <c r="E67" s="353" t="s">
        <v>189</v>
      </c>
      <c r="F67" s="351">
        <v>1</v>
      </c>
      <c r="G67" s="367" t="s">
        <v>59</v>
      </c>
      <c r="H67" s="368" t="s">
        <v>190</v>
      </c>
      <c r="I67" s="351">
        <v>4</v>
      </c>
    </row>
    <row r="68" spans="1:13" ht="36">
      <c r="A68" s="352" t="s">
        <v>67</v>
      </c>
      <c r="B68" s="353" t="s">
        <v>191</v>
      </c>
      <c r="C68" s="351">
        <v>1</v>
      </c>
      <c r="D68" s="366" t="s">
        <v>58</v>
      </c>
      <c r="E68" s="349" t="s">
        <v>192</v>
      </c>
      <c r="F68" s="351">
        <v>3</v>
      </c>
      <c r="G68" s="365" t="s">
        <v>193</v>
      </c>
      <c r="H68" s="353" t="s">
        <v>194</v>
      </c>
      <c r="I68" s="351">
        <v>4</v>
      </c>
    </row>
    <row r="69" spans="1:13">
      <c r="A69" s="352" t="s">
        <v>90</v>
      </c>
      <c r="B69" s="353" t="s">
        <v>195</v>
      </c>
      <c r="C69" s="351">
        <v>3</v>
      </c>
      <c r="D69" s="366" t="s">
        <v>91</v>
      </c>
      <c r="E69" s="349" t="s">
        <v>196</v>
      </c>
      <c r="F69" s="351">
        <v>1</v>
      </c>
      <c r="G69" s="366" t="s">
        <v>78</v>
      </c>
      <c r="H69" s="349" t="s">
        <v>197</v>
      </c>
      <c r="I69" s="351">
        <v>3</v>
      </c>
    </row>
    <row r="70" spans="1:13" ht="18.95" thickBot="1">
      <c r="A70" s="369" t="s">
        <v>76</v>
      </c>
      <c r="B70" s="370" t="s">
        <v>198</v>
      </c>
      <c r="C70" s="371">
        <v>2</v>
      </c>
      <c r="D70" s="372" t="s">
        <v>77</v>
      </c>
      <c r="E70" s="355" t="s">
        <v>199</v>
      </c>
      <c r="F70" s="371">
        <v>3</v>
      </c>
      <c r="G70" s="373" t="s">
        <v>92</v>
      </c>
      <c r="H70" s="370" t="s">
        <v>200</v>
      </c>
      <c r="I70" s="371">
        <v>3</v>
      </c>
    </row>
    <row r="71" spans="1:13" ht="12.95" thickBot="1">
      <c r="A71" s="621" t="s">
        <v>107</v>
      </c>
      <c r="B71" s="622"/>
      <c r="C71" s="374">
        <f>SUM(C64:C70)</f>
        <v>17</v>
      </c>
      <c r="D71" s="633" t="s">
        <v>107</v>
      </c>
      <c r="E71" s="622"/>
      <c r="F71" s="374">
        <f>SUM(F64:F70)</f>
        <v>18</v>
      </c>
      <c r="G71" s="633" t="s">
        <v>107</v>
      </c>
      <c r="H71" s="622"/>
      <c r="I71" s="375">
        <f>SUM(I64:I70)</f>
        <v>21</v>
      </c>
    </row>
    <row r="72" spans="1:13">
      <c r="A72" s="248"/>
      <c r="B72" s="248"/>
      <c r="C72" s="249"/>
      <c r="D72" s="248"/>
      <c r="E72" s="248"/>
      <c r="F72" s="250"/>
      <c r="G72" s="248"/>
      <c r="H72" s="248"/>
      <c r="I72" s="251"/>
    </row>
    <row r="73" spans="1:13">
      <c r="A73" s="248"/>
      <c r="B73" s="248"/>
      <c r="C73" s="249"/>
      <c r="D73" s="248"/>
      <c r="E73" s="248"/>
      <c r="F73" s="250"/>
      <c r="G73" s="248"/>
      <c r="H73" s="248"/>
      <c r="I73" s="251"/>
    </row>
    <row r="74" spans="1:13" ht="12.95" thickBot="1">
      <c r="A74" s="248"/>
      <c r="B74" s="248"/>
      <c r="C74" s="249"/>
      <c r="D74" s="248"/>
      <c r="E74" s="248"/>
      <c r="F74" s="250"/>
      <c r="G74" s="248"/>
      <c r="H74" s="248"/>
      <c r="I74" s="251"/>
    </row>
    <row r="75" spans="1:13">
      <c r="A75" s="623"/>
      <c r="B75" s="624"/>
      <c r="C75" s="624"/>
      <c r="D75" s="624"/>
      <c r="E75" s="624"/>
      <c r="F75" s="624"/>
      <c r="G75" s="624"/>
      <c r="H75" s="624"/>
      <c r="I75" s="625"/>
    </row>
    <row r="76" spans="1:13" ht="14.1">
      <c r="A76" s="626" t="s">
        <v>201</v>
      </c>
      <c r="B76" s="627"/>
      <c r="C76" s="627"/>
      <c r="D76" s="627"/>
      <c r="E76" s="627"/>
      <c r="F76" s="627"/>
      <c r="G76" s="627"/>
      <c r="H76" s="627"/>
      <c r="I76" s="628"/>
    </row>
    <row r="77" spans="1:13" ht="12.95" thickBot="1">
      <c r="A77" s="602"/>
      <c r="B77" s="603"/>
      <c r="C77" s="603"/>
      <c r="D77" s="603"/>
      <c r="E77" s="603"/>
      <c r="F77" s="603"/>
      <c r="G77" s="603"/>
      <c r="H77" s="603"/>
      <c r="I77" s="604"/>
    </row>
    <row r="78" spans="1:13">
      <c r="A78" s="636" t="s">
        <v>148</v>
      </c>
      <c r="B78" s="637"/>
      <c r="C78" s="638"/>
      <c r="D78" s="639" t="s">
        <v>149</v>
      </c>
      <c r="E78" s="637"/>
      <c r="F78" s="638"/>
      <c r="G78" s="639" t="s">
        <v>150</v>
      </c>
      <c r="H78" s="637"/>
      <c r="I78" s="638"/>
    </row>
    <row r="79" spans="1:13" ht="12.95" thickBot="1">
      <c r="A79" s="345" t="s">
        <v>151</v>
      </c>
      <c r="B79" s="256" t="s">
        <v>152</v>
      </c>
      <c r="C79" s="347" t="s">
        <v>153</v>
      </c>
      <c r="D79" s="364" t="s">
        <v>151</v>
      </c>
      <c r="E79" s="256" t="s">
        <v>152</v>
      </c>
      <c r="F79" s="347" t="s">
        <v>153</v>
      </c>
      <c r="G79" s="364" t="s">
        <v>151</v>
      </c>
      <c r="H79" s="256" t="s">
        <v>152</v>
      </c>
      <c r="I79" s="347" t="s">
        <v>153</v>
      </c>
      <c r="K79" s="252"/>
      <c r="L79" s="252"/>
      <c r="M79" s="252"/>
    </row>
    <row r="80" spans="1:13" ht="36.6">
      <c r="A80" s="376" t="s">
        <v>26</v>
      </c>
      <c r="B80" s="368" t="s">
        <v>202</v>
      </c>
      <c r="C80" s="351">
        <v>4</v>
      </c>
      <c r="D80" s="367" t="s">
        <v>27</v>
      </c>
      <c r="E80" s="368" t="s">
        <v>203</v>
      </c>
      <c r="F80" s="351">
        <v>3</v>
      </c>
      <c r="G80" s="367" t="s">
        <v>28</v>
      </c>
      <c r="H80" s="368" t="s">
        <v>204</v>
      </c>
      <c r="I80" s="351">
        <v>1</v>
      </c>
    </row>
    <row r="81" spans="1:9" ht="36.6">
      <c r="A81" s="376" t="s">
        <v>40</v>
      </c>
      <c r="B81" s="368" t="s">
        <v>205</v>
      </c>
      <c r="C81" s="351">
        <v>3</v>
      </c>
      <c r="D81" s="367" t="s">
        <v>41</v>
      </c>
      <c r="E81" s="368" t="s">
        <v>206</v>
      </c>
      <c r="F81" s="351">
        <v>4</v>
      </c>
      <c r="G81" s="367" t="s">
        <v>42</v>
      </c>
      <c r="H81" s="368" t="s">
        <v>207</v>
      </c>
      <c r="I81" s="351">
        <v>2</v>
      </c>
    </row>
    <row r="82" spans="1:9" ht="45.6">
      <c r="A82" s="376" t="s">
        <v>50</v>
      </c>
      <c r="B82" s="368" t="s">
        <v>208</v>
      </c>
      <c r="C82" s="351">
        <v>4</v>
      </c>
      <c r="D82" s="367" t="s">
        <v>209</v>
      </c>
      <c r="E82" s="368" t="s">
        <v>210</v>
      </c>
      <c r="F82" s="351">
        <v>4</v>
      </c>
      <c r="G82" s="367" t="s">
        <v>52</v>
      </c>
      <c r="H82" s="368" t="s">
        <v>211</v>
      </c>
      <c r="I82" s="351">
        <v>2</v>
      </c>
    </row>
    <row r="83" spans="1:9" ht="26.45" customHeight="1">
      <c r="A83" s="376" t="s">
        <v>60</v>
      </c>
      <c r="B83" s="368" t="s">
        <v>212</v>
      </c>
      <c r="C83" s="351">
        <v>2</v>
      </c>
      <c r="D83" s="367" t="s">
        <v>61</v>
      </c>
      <c r="E83" s="368" t="s">
        <v>213</v>
      </c>
      <c r="F83" s="351">
        <v>1</v>
      </c>
      <c r="G83" s="367" t="s">
        <v>62</v>
      </c>
      <c r="H83" s="368" t="s">
        <v>214</v>
      </c>
      <c r="I83" s="351">
        <v>3</v>
      </c>
    </row>
    <row r="84" spans="1:9" ht="18.600000000000001">
      <c r="A84" s="376" t="s">
        <v>70</v>
      </c>
      <c r="B84" s="368" t="s">
        <v>215</v>
      </c>
      <c r="C84" s="351">
        <v>1</v>
      </c>
      <c r="D84" s="367" t="s">
        <v>71</v>
      </c>
      <c r="E84" s="368" t="s">
        <v>216</v>
      </c>
      <c r="F84" s="351">
        <v>3</v>
      </c>
      <c r="G84" s="367" t="s">
        <v>72</v>
      </c>
      <c r="H84" s="368" t="s">
        <v>217</v>
      </c>
      <c r="I84" s="351">
        <v>3</v>
      </c>
    </row>
    <row r="85" spans="1:9" ht="18.600000000000001">
      <c r="A85" s="352" t="s">
        <v>79</v>
      </c>
      <c r="B85" s="353" t="s">
        <v>218</v>
      </c>
      <c r="C85" s="351">
        <v>3</v>
      </c>
      <c r="D85" s="367" t="s">
        <v>80</v>
      </c>
      <c r="E85" s="368" t="s">
        <v>219</v>
      </c>
      <c r="F85" s="351">
        <v>3</v>
      </c>
      <c r="G85" s="367" t="s">
        <v>81</v>
      </c>
      <c r="H85" s="368" t="s">
        <v>220</v>
      </c>
      <c r="I85" s="351">
        <v>3</v>
      </c>
    </row>
    <row r="86" spans="1:9" ht="27.95" thickBot="1">
      <c r="A86" s="354" t="s">
        <v>221</v>
      </c>
      <c r="B86" s="355" t="s">
        <v>222</v>
      </c>
      <c r="C86" s="371">
        <v>3</v>
      </c>
      <c r="D86" s="372" t="s">
        <v>223</v>
      </c>
      <c r="E86" s="355" t="s">
        <v>224</v>
      </c>
      <c r="F86" s="371">
        <v>3</v>
      </c>
      <c r="G86" s="372" t="s">
        <v>225</v>
      </c>
      <c r="H86" s="355" t="s">
        <v>226</v>
      </c>
      <c r="I86" s="371">
        <v>3</v>
      </c>
    </row>
    <row r="87" spans="1:9" ht="12.95" thickBot="1">
      <c r="A87" s="643" t="s">
        <v>107</v>
      </c>
      <c r="B87" s="644"/>
      <c r="C87" s="377">
        <f>SUM(C80:C86)</f>
        <v>20</v>
      </c>
      <c r="D87" s="645" t="s">
        <v>107</v>
      </c>
      <c r="E87" s="644"/>
      <c r="F87" s="377">
        <f>SUM(F80:F86)</f>
        <v>21</v>
      </c>
      <c r="G87" s="645" t="s">
        <v>107</v>
      </c>
      <c r="H87" s="644"/>
      <c r="I87" s="377">
        <f>SUM(I80:I86)</f>
        <v>17</v>
      </c>
    </row>
    <row r="88" spans="1:9" ht="15.6">
      <c r="A88" s="255"/>
    </row>
    <row r="89" spans="1:9" ht="15.95" thickBot="1">
      <c r="A89" s="255"/>
    </row>
    <row r="90" spans="1:9">
      <c r="A90" s="640"/>
      <c r="B90" s="641"/>
      <c r="C90" s="641"/>
      <c r="D90" s="641"/>
      <c r="E90" s="641"/>
      <c r="F90" s="641"/>
      <c r="G90" s="641"/>
      <c r="H90" s="641"/>
      <c r="I90" s="642"/>
    </row>
    <row r="91" spans="1:9" ht="14.1">
      <c r="A91" s="634" t="s">
        <v>227</v>
      </c>
      <c r="B91" s="627"/>
      <c r="C91" s="627"/>
      <c r="D91" s="627"/>
      <c r="E91" s="627"/>
      <c r="F91" s="627"/>
      <c r="G91" s="627"/>
      <c r="H91" s="627"/>
      <c r="I91" s="635"/>
    </row>
    <row r="92" spans="1:9" ht="12.95" thickBot="1">
      <c r="A92" s="646"/>
      <c r="B92" s="647"/>
      <c r="C92" s="647"/>
      <c r="D92" s="647"/>
      <c r="E92" s="647"/>
      <c r="F92" s="647"/>
      <c r="G92" s="647"/>
      <c r="H92" s="647"/>
      <c r="I92" s="648"/>
    </row>
    <row r="93" spans="1:9">
      <c r="A93" s="649" t="s">
        <v>148</v>
      </c>
      <c r="B93" s="650"/>
      <c r="C93" s="651"/>
      <c r="D93" s="649" t="s">
        <v>149</v>
      </c>
      <c r="E93" s="650"/>
      <c r="F93" s="651"/>
      <c r="G93" s="649" t="s">
        <v>150</v>
      </c>
      <c r="H93" s="650"/>
      <c r="I93" s="651"/>
    </row>
    <row r="94" spans="1:9" ht="12.95" thickBot="1">
      <c r="A94" s="256" t="s">
        <v>151</v>
      </c>
      <c r="B94" s="256" t="s">
        <v>152</v>
      </c>
      <c r="C94" s="256" t="s">
        <v>153</v>
      </c>
      <c r="D94" s="256" t="s">
        <v>151</v>
      </c>
      <c r="E94" s="257" t="s">
        <v>152</v>
      </c>
      <c r="F94" s="258" t="s">
        <v>153</v>
      </c>
      <c r="G94" s="245" t="s">
        <v>151</v>
      </c>
      <c r="H94" s="245" t="s">
        <v>152</v>
      </c>
      <c r="I94" s="246" t="s">
        <v>153</v>
      </c>
    </row>
    <row r="95" spans="1:9" ht="12.95" thickBot="1">
      <c r="A95" s="252" t="s">
        <v>29</v>
      </c>
      <c r="B95" s="252" t="s">
        <v>228</v>
      </c>
      <c r="C95" s="253">
        <v>6</v>
      </c>
      <c r="D95" s="252" t="s">
        <v>30</v>
      </c>
      <c r="E95" s="252" t="s">
        <v>229</v>
      </c>
      <c r="F95" s="253">
        <v>6</v>
      </c>
      <c r="G95" s="252" t="s">
        <v>230</v>
      </c>
      <c r="H95" s="252" t="s">
        <v>231</v>
      </c>
      <c r="I95" s="253">
        <v>6</v>
      </c>
    </row>
    <row r="96" spans="1:9" ht="12.95" thickBot="1">
      <c r="A96" s="277"/>
      <c r="B96" s="277"/>
      <c r="C96" s="277"/>
      <c r="D96" s="263"/>
      <c r="E96" s="264"/>
      <c r="F96" s="265"/>
      <c r="G96" s="263"/>
      <c r="H96" s="263"/>
      <c r="I96" s="265"/>
    </row>
    <row r="97" spans="1:9" ht="30.75" customHeight="1" thickBot="1">
      <c r="A97" s="277"/>
      <c r="B97" s="277"/>
      <c r="C97" s="277"/>
      <c r="D97" s="263"/>
      <c r="E97" s="264"/>
      <c r="F97" s="265"/>
      <c r="G97" s="263"/>
      <c r="H97" s="263"/>
      <c r="I97" s="265"/>
    </row>
    <row r="98" spans="1:9" ht="12.95" thickBot="1">
      <c r="A98" s="277"/>
      <c r="B98" s="277"/>
      <c r="C98" s="277"/>
      <c r="D98" s="263"/>
      <c r="E98" s="264"/>
      <c r="F98" s="265"/>
      <c r="G98" s="263"/>
      <c r="H98" s="263"/>
      <c r="I98" s="265"/>
    </row>
    <row r="99" spans="1:9" ht="12.95" thickBot="1">
      <c r="A99" s="277"/>
      <c r="B99" s="277"/>
      <c r="C99" s="277"/>
      <c r="D99" s="263"/>
      <c r="E99" s="264"/>
      <c r="F99" s="265"/>
      <c r="G99" s="263"/>
      <c r="H99" s="263"/>
      <c r="I99" s="265"/>
    </row>
    <row r="100" spans="1:9" ht="12.95" thickBot="1">
      <c r="A100" s="277"/>
      <c r="B100" s="277"/>
      <c r="C100" s="277"/>
      <c r="D100" s="263"/>
      <c r="E100" s="264"/>
      <c r="F100" s="265"/>
      <c r="G100" s="263"/>
      <c r="H100" s="263"/>
      <c r="I100" s="265"/>
    </row>
    <row r="101" spans="1:9" ht="12.95" thickBot="1">
      <c r="A101" s="587" t="s">
        <v>107</v>
      </c>
      <c r="B101" s="588"/>
      <c r="C101" s="259">
        <f>SUM(C95:C100)</f>
        <v>6</v>
      </c>
      <c r="D101" s="589" t="s">
        <v>107</v>
      </c>
      <c r="E101" s="588"/>
      <c r="F101" s="259">
        <f>SUM(F95:F100)</f>
        <v>6</v>
      </c>
      <c r="G101" s="589" t="s">
        <v>107</v>
      </c>
      <c r="H101" s="588"/>
      <c r="I101" s="260">
        <f>SUM(I95:I100)</f>
        <v>6</v>
      </c>
    </row>
    <row r="102" spans="1:9">
      <c r="A102" s="261"/>
      <c r="B102" s="261"/>
      <c r="C102" s="262"/>
      <c r="D102" s="261"/>
      <c r="E102" s="261"/>
      <c r="F102" s="262"/>
      <c r="G102" s="261"/>
      <c r="H102" s="261"/>
      <c r="I102" s="262"/>
    </row>
    <row r="103" spans="1:9">
      <c r="A103" s="261"/>
      <c r="B103" s="261"/>
      <c r="C103" s="262"/>
      <c r="D103" s="261"/>
      <c r="E103" s="261"/>
      <c r="F103" s="262"/>
      <c r="G103" s="261"/>
      <c r="H103" s="261"/>
      <c r="I103" s="262"/>
    </row>
    <row r="104" spans="1:9">
      <c r="A104" s="261"/>
      <c r="B104" s="261"/>
      <c r="C104" s="262"/>
      <c r="D104" s="261"/>
      <c r="E104" s="261"/>
      <c r="F104" s="262"/>
      <c r="G104" s="261"/>
      <c r="H104" s="261"/>
      <c r="I104" s="262"/>
    </row>
    <row r="105" spans="1:9">
      <c r="A105" s="261"/>
      <c r="B105" s="261"/>
      <c r="C105" s="262"/>
      <c r="D105" s="261"/>
      <c r="E105" s="261"/>
      <c r="F105" s="262"/>
      <c r="G105" s="261"/>
      <c r="H105" s="261"/>
      <c r="I105" s="262"/>
    </row>
    <row r="106" spans="1:9">
      <c r="A106" s="261"/>
      <c r="B106" s="261"/>
      <c r="C106" s="262"/>
      <c r="D106" s="261"/>
      <c r="E106" s="261"/>
      <c r="F106" s="262"/>
      <c r="G106" s="261"/>
      <c r="H106" s="261"/>
      <c r="I106" s="262"/>
    </row>
    <row r="107" spans="1:9" ht="12.95" thickBot="1">
      <c r="A107" s="261"/>
      <c r="B107" s="261"/>
      <c r="C107" s="262"/>
      <c r="D107" s="261"/>
      <c r="E107" s="261"/>
      <c r="F107" s="262"/>
      <c r="G107" s="261"/>
      <c r="H107" s="261"/>
      <c r="I107" s="262"/>
    </row>
    <row r="108" spans="1:9">
      <c r="A108" s="623"/>
      <c r="B108" s="624"/>
      <c r="C108" s="624"/>
      <c r="D108" s="624"/>
      <c r="E108" s="624"/>
      <c r="F108" s="624"/>
      <c r="G108" s="624"/>
      <c r="H108" s="624"/>
      <c r="I108" s="625"/>
    </row>
    <row r="109" spans="1:9" ht="12.95">
      <c r="A109" s="652" t="s">
        <v>232</v>
      </c>
      <c r="B109" s="653"/>
      <c r="C109" s="653"/>
      <c r="D109" s="653"/>
      <c r="E109" s="653"/>
      <c r="F109" s="653"/>
      <c r="G109" s="653"/>
      <c r="H109" s="653"/>
      <c r="I109" s="654"/>
    </row>
    <row r="110" spans="1:9" ht="12.95" thickBot="1">
      <c r="A110" s="590"/>
      <c r="B110" s="591"/>
      <c r="C110" s="591"/>
      <c r="D110" s="591"/>
      <c r="E110" s="591"/>
      <c r="F110" s="591"/>
      <c r="G110" s="591"/>
      <c r="H110" s="591"/>
      <c r="I110" s="592"/>
    </row>
    <row r="111" spans="1:9" ht="12.75" customHeight="1">
      <c r="A111" s="593" t="s">
        <v>233</v>
      </c>
      <c r="B111" s="594"/>
      <c r="C111" s="595"/>
      <c r="D111" s="593" t="s">
        <v>234</v>
      </c>
      <c r="E111" s="594"/>
      <c r="F111" s="595"/>
      <c r="G111" s="593" t="s">
        <v>235</v>
      </c>
      <c r="H111" s="594"/>
      <c r="I111" s="595"/>
    </row>
    <row r="112" spans="1:9" ht="12.95" thickBot="1">
      <c r="A112" s="245" t="s">
        <v>151</v>
      </c>
      <c r="B112" s="258" t="s">
        <v>152</v>
      </c>
      <c r="C112" s="258" t="s">
        <v>153</v>
      </c>
      <c r="D112" s="245" t="s">
        <v>151</v>
      </c>
      <c r="E112" s="245" t="s">
        <v>152</v>
      </c>
      <c r="F112" s="245" t="s">
        <v>153</v>
      </c>
      <c r="G112" s="245" t="s">
        <v>151</v>
      </c>
      <c r="H112" s="245" t="s">
        <v>152</v>
      </c>
      <c r="I112" s="246" t="s">
        <v>153</v>
      </c>
    </row>
    <row r="113" spans="1:9" ht="12.95" thickBot="1">
      <c r="A113" s="266" t="s">
        <v>111</v>
      </c>
      <c r="B113" s="267" t="s">
        <v>112</v>
      </c>
      <c r="C113" s="254">
        <v>3</v>
      </c>
      <c r="D113" s="268" t="s">
        <v>118</v>
      </c>
      <c r="E113" s="267" t="s">
        <v>119</v>
      </c>
      <c r="F113" s="254">
        <v>3</v>
      </c>
      <c r="G113" s="268" t="s">
        <v>125</v>
      </c>
      <c r="H113" s="267" t="s">
        <v>126</v>
      </c>
      <c r="I113" s="254">
        <v>3</v>
      </c>
    </row>
    <row r="114" spans="1:9" ht="27.95" thickBot="1">
      <c r="A114" s="266" t="s">
        <v>113</v>
      </c>
      <c r="B114" s="267" t="s">
        <v>114</v>
      </c>
      <c r="C114" s="254">
        <v>3</v>
      </c>
      <c r="D114" s="266" t="s">
        <v>120</v>
      </c>
      <c r="E114" s="267" t="s">
        <v>121</v>
      </c>
      <c r="F114" s="254">
        <v>3</v>
      </c>
      <c r="G114" s="266" t="s">
        <v>127</v>
      </c>
      <c r="H114" s="267" t="s">
        <v>236</v>
      </c>
      <c r="I114" s="254">
        <v>3</v>
      </c>
    </row>
    <row r="115" spans="1:9" ht="18.95" thickBot="1">
      <c r="A115" s="266" t="s">
        <v>115</v>
      </c>
      <c r="B115" s="267" t="s">
        <v>116</v>
      </c>
      <c r="C115" s="254">
        <v>3</v>
      </c>
      <c r="D115" s="266" t="s">
        <v>122</v>
      </c>
      <c r="E115" s="267" t="s">
        <v>123</v>
      </c>
      <c r="F115" s="254">
        <v>3</v>
      </c>
      <c r="G115" s="266" t="s">
        <v>129</v>
      </c>
      <c r="H115" s="267" t="s">
        <v>130</v>
      </c>
      <c r="I115" s="254">
        <v>3</v>
      </c>
    </row>
  </sheetData>
  <mergeCells count="49">
    <mergeCell ref="A92:I92"/>
    <mergeCell ref="A93:C93"/>
    <mergeCell ref="D93:F93"/>
    <mergeCell ref="G93:I93"/>
    <mergeCell ref="A108:I108"/>
    <mergeCell ref="A91:I91"/>
    <mergeCell ref="A75:I75"/>
    <mergeCell ref="A76:I76"/>
    <mergeCell ref="A77:I77"/>
    <mergeCell ref="A78:C78"/>
    <mergeCell ref="D78:F78"/>
    <mergeCell ref="G78:I78"/>
    <mergeCell ref="A90:I90"/>
    <mergeCell ref="A87:B87"/>
    <mergeCell ref="D87:E87"/>
    <mergeCell ref="G87:H87"/>
    <mergeCell ref="A62:C62"/>
    <mergeCell ref="D62:F62"/>
    <mergeCell ref="G62:I62"/>
    <mergeCell ref="A71:B71"/>
    <mergeCell ref="D71:E71"/>
    <mergeCell ref="G71:H71"/>
    <mergeCell ref="A61:I61"/>
    <mergeCell ref="A43:I43"/>
    <mergeCell ref="A44:I44"/>
    <mergeCell ref="A45:I45"/>
    <mergeCell ref="A46:I46"/>
    <mergeCell ref="A47:C47"/>
    <mergeCell ref="D47:F47"/>
    <mergeCell ref="G47:I47"/>
    <mergeCell ref="A56:B56"/>
    <mergeCell ref="D56:E56"/>
    <mergeCell ref="G56:H56"/>
    <mergeCell ref="A59:I59"/>
    <mergeCell ref="A60:I60"/>
    <mergeCell ref="A30:I38"/>
    <mergeCell ref="A19:I19"/>
    <mergeCell ref="A21:I21"/>
    <mergeCell ref="A23:I23"/>
    <mergeCell ref="A25:I25"/>
    <mergeCell ref="A27:I27"/>
    <mergeCell ref="A101:B101"/>
    <mergeCell ref="D101:E101"/>
    <mergeCell ref="G101:H101"/>
    <mergeCell ref="A110:I110"/>
    <mergeCell ref="A111:C111"/>
    <mergeCell ref="D111:F111"/>
    <mergeCell ref="G111:I111"/>
    <mergeCell ref="A109:I109"/>
  </mergeCells>
  <phoneticPr fontId="3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0"/>
  <sheetViews>
    <sheetView view="pageBreakPreview" topLeftCell="A66" zoomScale="106" zoomScaleNormal="75" zoomScaleSheetLayoutView="106" workbookViewId="0">
      <selection activeCell="D66" sqref="D66"/>
    </sheetView>
  </sheetViews>
  <sheetFormatPr defaultRowHeight="12.6"/>
  <cols>
    <col min="1" max="1" width="14.5703125" bestFit="1" customWidth="1"/>
    <col min="2" max="2" width="18.140625" customWidth="1"/>
    <col min="3" max="3" width="15.140625" bestFit="1" customWidth="1"/>
    <col min="4" max="4" width="65.85546875" customWidth="1"/>
  </cols>
  <sheetData>
    <row r="1" spans="1:4" ht="20.100000000000001">
      <c r="A1" s="669" t="s">
        <v>144</v>
      </c>
      <c r="B1" s="669"/>
      <c r="C1" s="669"/>
      <c r="D1" s="669"/>
    </row>
    <row r="2" spans="1:4" ht="17.45">
      <c r="A2" s="670" t="s">
        <v>237</v>
      </c>
      <c r="B2" s="670"/>
      <c r="C2" s="670"/>
      <c r="D2" s="670"/>
    </row>
    <row r="3" spans="1:4" ht="15.6">
      <c r="A3" s="661" t="s">
        <v>238</v>
      </c>
      <c r="B3" s="661"/>
      <c r="C3" s="661"/>
      <c r="D3" s="661"/>
    </row>
    <row r="4" spans="1:4" ht="12.95">
      <c r="A4" s="212" t="s">
        <v>239</v>
      </c>
      <c r="B4" s="212" t="s">
        <v>240</v>
      </c>
      <c r="C4" s="212" t="s">
        <v>241</v>
      </c>
      <c r="D4" s="212" t="s">
        <v>242</v>
      </c>
    </row>
    <row r="5" spans="1:4" ht="62.45">
      <c r="A5" s="213" t="s">
        <v>20</v>
      </c>
      <c r="B5" s="214" t="s">
        <v>154</v>
      </c>
      <c r="C5" s="215" t="s">
        <v>243</v>
      </c>
      <c r="D5" s="216" t="s">
        <v>244</v>
      </c>
    </row>
    <row r="6" spans="1:4" ht="87.6">
      <c r="A6" s="213" t="s">
        <v>245</v>
      </c>
      <c r="B6" s="214" t="s">
        <v>155</v>
      </c>
      <c r="C6" s="215" t="s">
        <v>20</v>
      </c>
      <c r="D6" s="216" t="s">
        <v>246</v>
      </c>
    </row>
    <row r="7" spans="1:4" ht="183.75" customHeight="1">
      <c r="A7" s="213" t="s">
        <v>22</v>
      </c>
      <c r="B7" s="214" t="s">
        <v>156</v>
      </c>
      <c r="C7" s="214" t="s">
        <v>20</v>
      </c>
      <c r="D7" s="216" t="s">
        <v>247</v>
      </c>
    </row>
    <row r="8" spans="1:4" ht="159.75" customHeight="1">
      <c r="A8" s="213" t="s">
        <v>23</v>
      </c>
      <c r="B8" s="214" t="s">
        <v>248</v>
      </c>
      <c r="C8" s="214" t="s">
        <v>245</v>
      </c>
      <c r="D8" s="216" t="s">
        <v>249</v>
      </c>
    </row>
    <row r="9" spans="1:4">
      <c r="A9" s="217"/>
      <c r="B9" s="218"/>
      <c r="C9" s="218"/>
      <c r="D9" s="219"/>
    </row>
    <row r="10" spans="1:4" ht="15.6">
      <c r="A10" s="661" t="s">
        <v>250</v>
      </c>
      <c r="B10" s="661"/>
      <c r="C10" s="661"/>
      <c r="D10" s="661"/>
    </row>
    <row r="11" spans="1:4" ht="12.95">
      <c r="A11" s="212" t="s">
        <v>239</v>
      </c>
      <c r="B11" s="212" t="s">
        <v>240</v>
      </c>
      <c r="C11" s="212" t="s">
        <v>241</v>
      </c>
      <c r="D11" s="212" t="s">
        <v>242</v>
      </c>
    </row>
    <row r="12" spans="1:4" ht="24.95">
      <c r="A12" s="214" t="s">
        <v>251</v>
      </c>
      <c r="B12" s="214" t="s">
        <v>252</v>
      </c>
      <c r="C12" s="214" t="s">
        <v>243</v>
      </c>
      <c r="D12" s="216" t="s">
        <v>253</v>
      </c>
    </row>
    <row r="13" spans="1:4" ht="45" customHeight="1">
      <c r="A13" s="214" t="s">
        <v>254</v>
      </c>
      <c r="B13" s="214" t="s">
        <v>255</v>
      </c>
      <c r="C13" s="214" t="s">
        <v>243</v>
      </c>
      <c r="D13" s="216" t="s">
        <v>256</v>
      </c>
    </row>
    <row r="14" spans="1:4" ht="82.5" customHeight="1">
      <c r="A14" s="214" t="s">
        <v>257</v>
      </c>
      <c r="B14" s="214" t="s">
        <v>258</v>
      </c>
      <c r="C14" s="214" t="s">
        <v>20</v>
      </c>
      <c r="D14" s="216" t="s">
        <v>259</v>
      </c>
    </row>
    <row r="15" spans="1:4" ht="43.5" customHeight="1">
      <c r="A15" s="214" t="s">
        <v>260</v>
      </c>
      <c r="B15" s="214" t="s">
        <v>261</v>
      </c>
      <c r="C15" s="214" t="s">
        <v>20</v>
      </c>
      <c r="D15" s="216" t="s">
        <v>262</v>
      </c>
    </row>
    <row r="16" spans="1:4" ht="15.6">
      <c r="A16" s="661" t="s">
        <v>263</v>
      </c>
      <c r="B16" s="661"/>
      <c r="C16" s="661"/>
      <c r="D16" s="661"/>
    </row>
    <row r="17" spans="1:4" ht="12.95">
      <c r="A17" s="220" t="s">
        <v>239</v>
      </c>
      <c r="B17" s="212" t="s">
        <v>240</v>
      </c>
      <c r="C17" s="212" t="s">
        <v>241</v>
      </c>
      <c r="D17" s="220" t="s">
        <v>240</v>
      </c>
    </row>
    <row r="18" spans="1:4" ht="37.5">
      <c r="A18" s="214" t="s">
        <v>91</v>
      </c>
      <c r="B18" s="214" t="s">
        <v>196</v>
      </c>
      <c r="C18" s="214" t="s">
        <v>264</v>
      </c>
      <c r="D18" s="216" t="s">
        <v>265</v>
      </c>
    </row>
    <row r="19" spans="1:4" ht="51" customHeight="1">
      <c r="A19" s="214" t="s">
        <v>46</v>
      </c>
      <c r="B19" s="214" t="s">
        <v>163</v>
      </c>
      <c r="C19" s="214" t="s">
        <v>243</v>
      </c>
      <c r="D19" s="216" t="s">
        <v>266</v>
      </c>
    </row>
    <row r="20" spans="1:4" ht="45" customHeight="1">
      <c r="A20" s="214" t="s">
        <v>71</v>
      </c>
      <c r="B20" s="214" t="s">
        <v>267</v>
      </c>
      <c r="C20" s="214" t="s">
        <v>243</v>
      </c>
      <c r="D20" s="216" t="s">
        <v>268</v>
      </c>
    </row>
    <row r="21" spans="1:4" ht="24.95">
      <c r="A21" s="214" t="s">
        <v>269</v>
      </c>
      <c r="B21" s="214" t="s">
        <v>270</v>
      </c>
      <c r="C21" s="214" t="s">
        <v>243</v>
      </c>
      <c r="D21" s="216" t="s">
        <v>271</v>
      </c>
    </row>
    <row r="22" spans="1:4" ht="15.6">
      <c r="A22" s="661" t="s">
        <v>272</v>
      </c>
      <c r="B22" s="661"/>
      <c r="C22" s="661"/>
      <c r="D22" s="661"/>
    </row>
    <row r="23" spans="1:4" ht="12.95">
      <c r="A23" s="212" t="s">
        <v>239</v>
      </c>
      <c r="B23" s="212" t="s">
        <v>240</v>
      </c>
      <c r="C23" s="212" t="s">
        <v>241</v>
      </c>
      <c r="D23" s="212" t="s">
        <v>242</v>
      </c>
    </row>
    <row r="24" spans="1:4" ht="83.25" customHeight="1">
      <c r="A24" s="214" t="s">
        <v>273</v>
      </c>
      <c r="B24" s="214" t="s">
        <v>274</v>
      </c>
      <c r="C24" s="214" t="s">
        <v>275</v>
      </c>
      <c r="D24" s="216" t="s">
        <v>276</v>
      </c>
    </row>
    <row r="25" spans="1:4" ht="138.75" customHeight="1">
      <c r="A25" s="214" t="s">
        <v>277</v>
      </c>
      <c r="B25" s="214" t="s">
        <v>278</v>
      </c>
      <c r="C25" s="214" t="s">
        <v>275</v>
      </c>
      <c r="D25" s="216" t="s">
        <v>279</v>
      </c>
    </row>
    <row r="26" spans="1:4" ht="37.5">
      <c r="A26" s="214" t="s">
        <v>280</v>
      </c>
      <c r="B26" s="214" t="s">
        <v>281</v>
      </c>
      <c r="C26" s="214" t="s">
        <v>282</v>
      </c>
      <c r="D26" s="216" t="s">
        <v>283</v>
      </c>
    </row>
    <row r="27" spans="1:4" ht="135.75" customHeight="1">
      <c r="A27" s="214" t="s">
        <v>284</v>
      </c>
      <c r="B27" s="214" t="s">
        <v>285</v>
      </c>
      <c r="C27" s="214" t="s">
        <v>282</v>
      </c>
      <c r="D27" s="216" t="s">
        <v>286</v>
      </c>
    </row>
    <row r="28" spans="1:4">
      <c r="A28" s="217"/>
      <c r="B28" s="218"/>
      <c r="C28" s="218"/>
      <c r="D28" s="221"/>
    </row>
    <row r="29" spans="1:4" ht="15.6">
      <c r="A29" s="661" t="s">
        <v>287</v>
      </c>
      <c r="B29" s="661"/>
      <c r="C29" s="661"/>
      <c r="D29" s="661"/>
    </row>
    <row r="30" spans="1:4" ht="15.6">
      <c r="A30" s="671" t="s">
        <v>288</v>
      </c>
      <c r="B30" s="671"/>
      <c r="C30" s="671"/>
      <c r="D30" s="671"/>
    </row>
    <row r="31" spans="1:4" ht="12.95">
      <c r="A31" s="212" t="s">
        <v>239</v>
      </c>
      <c r="B31" s="212" t="s">
        <v>240</v>
      </c>
      <c r="C31" s="212" t="s">
        <v>241</v>
      </c>
      <c r="D31" s="212" t="s">
        <v>242</v>
      </c>
    </row>
    <row r="32" spans="1:4" ht="24.95">
      <c r="A32" s="214" t="s">
        <v>89</v>
      </c>
      <c r="B32" s="227" t="s">
        <v>174</v>
      </c>
      <c r="C32" s="214" t="s">
        <v>20</v>
      </c>
      <c r="D32" s="207" t="s">
        <v>289</v>
      </c>
    </row>
    <row r="33" spans="1:4" ht="87.6">
      <c r="A33" s="214" t="s">
        <v>24</v>
      </c>
      <c r="B33" s="227" t="s">
        <v>179</v>
      </c>
      <c r="C33" s="214" t="s">
        <v>23</v>
      </c>
      <c r="D33" s="216" t="s">
        <v>290</v>
      </c>
    </row>
    <row r="34" spans="1:4" ht="104.25" customHeight="1">
      <c r="A34" s="214" t="s">
        <v>45</v>
      </c>
      <c r="B34" s="214" t="s">
        <v>161</v>
      </c>
      <c r="C34" s="214" t="s">
        <v>243</v>
      </c>
      <c r="D34" s="207" t="s">
        <v>291</v>
      </c>
    </row>
    <row r="35" spans="1:4" ht="87.6">
      <c r="A35" s="214" t="s">
        <v>49</v>
      </c>
      <c r="B35" s="227" t="s">
        <v>187</v>
      </c>
      <c r="C35" s="214" t="s">
        <v>292</v>
      </c>
      <c r="D35" s="216" t="s">
        <v>293</v>
      </c>
    </row>
    <row r="36" spans="1:4" ht="50.1">
      <c r="A36" s="214" t="s">
        <v>39</v>
      </c>
      <c r="B36" s="227" t="s">
        <v>184</v>
      </c>
      <c r="C36" s="214" t="s">
        <v>292</v>
      </c>
      <c r="D36" s="216" t="s">
        <v>294</v>
      </c>
    </row>
    <row r="37" spans="1:4" ht="87.6">
      <c r="A37" s="214" t="s">
        <v>164</v>
      </c>
      <c r="B37" s="227" t="s">
        <v>165</v>
      </c>
      <c r="C37" s="214" t="s">
        <v>243</v>
      </c>
      <c r="D37" s="216" t="s">
        <v>295</v>
      </c>
    </row>
    <row r="38" spans="1:4" ht="37.5">
      <c r="A38" s="214" t="s">
        <v>56</v>
      </c>
      <c r="B38" s="227" t="s">
        <v>167</v>
      </c>
      <c r="C38" s="214" t="s">
        <v>55</v>
      </c>
      <c r="D38" s="216" t="s">
        <v>296</v>
      </c>
    </row>
    <row r="39" spans="1:4" ht="75">
      <c r="A39" s="214" t="s">
        <v>55</v>
      </c>
      <c r="B39" s="227" t="s">
        <v>162</v>
      </c>
      <c r="C39" s="214" t="s">
        <v>164</v>
      </c>
      <c r="D39" s="216" t="s">
        <v>297</v>
      </c>
    </row>
    <row r="40" spans="1:4" ht="50.1">
      <c r="A40" s="214" t="s">
        <v>298</v>
      </c>
      <c r="B40" s="228" t="s">
        <v>299</v>
      </c>
      <c r="C40" s="214" t="s">
        <v>56</v>
      </c>
      <c r="D40" s="216" t="s">
        <v>300</v>
      </c>
    </row>
    <row r="41" spans="1:4" ht="24.95">
      <c r="A41" s="214" t="s">
        <v>301</v>
      </c>
      <c r="B41" s="228" t="s">
        <v>302</v>
      </c>
      <c r="C41" s="214" t="s">
        <v>56</v>
      </c>
      <c r="D41" s="216" t="s">
        <v>303</v>
      </c>
    </row>
    <row r="42" spans="1:4" ht="37.5">
      <c r="A42" s="214" t="s">
        <v>304</v>
      </c>
      <c r="B42" s="227" t="s">
        <v>305</v>
      </c>
      <c r="C42" s="214" t="s">
        <v>38</v>
      </c>
      <c r="D42" s="216" t="s">
        <v>306</v>
      </c>
    </row>
    <row r="43" spans="1:4" ht="37.5">
      <c r="A43" s="214" t="s">
        <v>307</v>
      </c>
      <c r="B43" s="227" t="s">
        <v>308</v>
      </c>
      <c r="C43" s="214" t="s">
        <v>38</v>
      </c>
      <c r="D43" s="216" t="s">
        <v>309</v>
      </c>
    </row>
    <row r="44" spans="1:4" ht="50.1">
      <c r="A44" s="214" t="s">
        <v>310</v>
      </c>
      <c r="B44" s="227" t="s">
        <v>311</v>
      </c>
      <c r="C44" s="214" t="s">
        <v>292</v>
      </c>
      <c r="D44" s="216" t="s">
        <v>312</v>
      </c>
    </row>
    <row r="45" spans="1:4" ht="50.1">
      <c r="A45" s="214" t="s">
        <v>313</v>
      </c>
      <c r="B45" s="227" t="s">
        <v>314</v>
      </c>
      <c r="C45" s="214" t="s">
        <v>292</v>
      </c>
      <c r="D45" s="216" t="s">
        <v>315</v>
      </c>
    </row>
    <row r="46" spans="1:4" ht="50.1">
      <c r="A46" s="214" t="s">
        <v>60</v>
      </c>
      <c r="B46" s="227" t="s">
        <v>316</v>
      </c>
      <c r="C46" s="214" t="s">
        <v>317</v>
      </c>
      <c r="D46" s="216" t="s">
        <v>318</v>
      </c>
    </row>
    <row r="47" spans="1:4" ht="37.5">
      <c r="A47" s="214" t="s">
        <v>57</v>
      </c>
      <c r="B47" s="227" t="s">
        <v>188</v>
      </c>
      <c r="C47" s="214" t="s">
        <v>56</v>
      </c>
      <c r="D47" s="216" t="s">
        <v>319</v>
      </c>
    </row>
    <row r="48" spans="1:4" ht="50.1">
      <c r="A48" s="222" t="s">
        <v>320</v>
      </c>
      <c r="B48" s="231" t="s">
        <v>321</v>
      </c>
      <c r="C48" s="214" t="s">
        <v>59</v>
      </c>
      <c r="D48" s="216" t="s">
        <v>322</v>
      </c>
    </row>
    <row r="49" spans="1:4" ht="50.1">
      <c r="A49" s="222" t="s">
        <v>323</v>
      </c>
      <c r="B49" s="231" t="s">
        <v>324</v>
      </c>
      <c r="C49" s="214" t="s">
        <v>59</v>
      </c>
      <c r="D49" s="216" t="s">
        <v>325</v>
      </c>
    </row>
    <row r="50" spans="1:4" ht="24.95">
      <c r="A50" s="214"/>
      <c r="B50" s="227" t="s">
        <v>205</v>
      </c>
      <c r="C50" s="214" t="s">
        <v>181</v>
      </c>
      <c r="D50" s="216" t="s">
        <v>326</v>
      </c>
    </row>
    <row r="51" spans="1:4" ht="24.95">
      <c r="A51" s="214" t="s">
        <v>327</v>
      </c>
      <c r="B51" s="227" t="s">
        <v>328</v>
      </c>
      <c r="C51" s="214" t="s">
        <v>40</v>
      </c>
      <c r="D51" s="216" t="s">
        <v>329</v>
      </c>
    </row>
    <row r="52" spans="1:4" ht="37.5">
      <c r="A52" s="214" t="s">
        <v>330</v>
      </c>
      <c r="B52" s="227" t="s">
        <v>331</v>
      </c>
      <c r="C52" s="214" t="s">
        <v>40</v>
      </c>
      <c r="D52" s="216" t="s">
        <v>332</v>
      </c>
    </row>
    <row r="53" spans="1:4" ht="37.5">
      <c r="A53" s="214" t="s">
        <v>333</v>
      </c>
      <c r="B53" s="227" t="s">
        <v>334</v>
      </c>
      <c r="C53" s="214" t="s">
        <v>59</v>
      </c>
      <c r="D53" s="216" t="s">
        <v>335</v>
      </c>
    </row>
    <row r="54" spans="1:4" ht="50.1">
      <c r="A54" s="214" t="s">
        <v>336</v>
      </c>
      <c r="B54" s="227" t="s">
        <v>337</v>
      </c>
      <c r="C54" s="214" t="s">
        <v>59</v>
      </c>
      <c r="D54" s="216" t="s">
        <v>338</v>
      </c>
    </row>
    <row r="55" spans="1:4" ht="37.5">
      <c r="A55" s="214" t="s">
        <v>339</v>
      </c>
      <c r="B55" s="227" t="s">
        <v>340</v>
      </c>
      <c r="C55" s="214" t="s">
        <v>25</v>
      </c>
      <c r="D55" s="216" t="s">
        <v>341</v>
      </c>
    </row>
    <row r="56" spans="1:4" ht="37.5">
      <c r="A56" s="214" t="s">
        <v>342</v>
      </c>
      <c r="B56" s="227" t="s">
        <v>343</v>
      </c>
      <c r="C56" s="214" t="s">
        <v>25</v>
      </c>
      <c r="D56" s="216" t="s">
        <v>344</v>
      </c>
    </row>
    <row r="57" spans="1:4" ht="50.1">
      <c r="A57" s="214" t="s">
        <v>25</v>
      </c>
      <c r="B57" s="227" t="s">
        <v>180</v>
      </c>
      <c r="C57" s="214" t="s">
        <v>292</v>
      </c>
      <c r="D57" s="216" t="s">
        <v>345</v>
      </c>
    </row>
    <row r="58" spans="1:4" ht="50.1">
      <c r="A58" s="214" t="s">
        <v>70</v>
      </c>
      <c r="B58" s="227" t="s">
        <v>346</v>
      </c>
      <c r="C58" s="214" t="s">
        <v>347</v>
      </c>
      <c r="D58" s="216" t="s">
        <v>348</v>
      </c>
    </row>
    <row r="59" spans="1:4" ht="37.5">
      <c r="A59" s="214" t="s">
        <v>28</v>
      </c>
      <c r="B59" s="227" t="s">
        <v>204</v>
      </c>
      <c r="C59" s="214" t="s">
        <v>349</v>
      </c>
      <c r="D59" s="216" t="s">
        <v>350</v>
      </c>
    </row>
    <row r="60" spans="1:4" ht="112.5">
      <c r="A60" s="214" t="s">
        <v>27</v>
      </c>
      <c r="B60" s="227" t="s">
        <v>203</v>
      </c>
      <c r="C60" s="214" t="s">
        <v>351</v>
      </c>
      <c r="D60" s="216" t="s">
        <v>352</v>
      </c>
    </row>
    <row r="61" spans="1:4" ht="50.1">
      <c r="A61" s="214" t="s">
        <v>42</v>
      </c>
      <c r="B61" s="227" t="s">
        <v>353</v>
      </c>
      <c r="C61" s="214" t="s">
        <v>351</v>
      </c>
      <c r="D61" s="216" t="s">
        <v>354</v>
      </c>
    </row>
    <row r="62" spans="1:4" ht="24.95">
      <c r="A62" s="214" t="s">
        <v>62</v>
      </c>
      <c r="B62" s="227" t="s">
        <v>214</v>
      </c>
      <c r="C62" s="214" t="s">
        <v>349</v>
      </c>
      <c r="D62" s="216" t="s">
        <v>355</v>
      </c>
    </row>
    <row r="63" spans="1:4" ht="87.6">
      <c r="A63" s="214" t="s">
        <v>61</v>
      </c>
      <c r="B63" s="229" t="s">
        <v>356</v>
      </c>
      <c r="C63" s="214" t="s">
        <v>59</v>
      </c>
      <c r="D63" s="216" t="s">
        <v>357</v>
      </c>
    </row>
    <row r="64" spans="1:4" ht="75">
      <c r="A64" s="214" t="s">
        <v>52</v>
      </c>
      <c r="B64" s="229" t="s">
        <v>358</v>
      </c>
      <c r="C64" s="214" t="s">
        <v>61</v>
      </c>
      <c r="D64" s="216" t="s">
        <v>359</v>
      </c>
    </row>
    <row r="65" spans="1:4" ht="162.6">
      <c r="A65" s="214" t="s">
        <v>29</v>
      </c>
      <c r="B65" s="227" t="s">
        <v>228</v>
      </c>
      <c r="C65" s="214" t="s">
        <v>360</v>
      </c>
      <c r="D65" s="342" t="s">
        <v>361</v>
      </c>
    </row>
    <row r="66" spans="1:4" ht="137.44999999999999" customHeight="1">
      <c r="A66" s="214" t="s">
        <v>30</v>
      </c>
      <c r="B66" s="227" t="s">
        <v>229</v>
      </c>
      <c r="C66" s="214" t="s">
        <v>29</v>
      </c>
      <c r="D66" s="378" t="s">
        <v>362</v>
      </c>
    </row>
    <row r="67" spans="1:4" ht="132.94999999999999" customHeight="1">
      <c r="A67" s="214" t="s">
        <v>230</v>
      </c>
      <c r="B67" s="227" t="s">
        <v>231</v>
      </c>
      <c r="C67" s="214" t="s">
        <v>30</v>
      </c>
      <c r="D67" s="343" t="s">
        <v>363</v>
      </c>
    </row>
    <row r="68" spans="1:4" ht="87.6">
      <c r="A68" s="214" t="s">
        <v>47</v>
      </c>
      <c r="B68" s="227" t="s">
        <v>364</v>
      </c>
      <c r="C68" s="214" t="s">
        <v>243</v>
      </c>
      <c r="D68" s="216" t="s">
        <v>365</v>
      </c>
    </row>
    <row r="69" spans="1:4" ht="75">
      <c r="A69" s="214" t="s">
        <v>68</v>
      </c>
      <c r="B69" s="227" t="s">
        <v>189</v>
      </c>
      <c r="C69" s="214" t="s">
        <v>56</v>
      </c>
      <c r="D69" s="216" t="s">
        <v>366</v>
      </c>
    </row>
    <row r="70" spans="1:4" ht="50.1">
      <c r="A70" s="214" t="s">
        <v>67</v>
      </c>
      <c r="B70" s="227" t="s">
        <v>367</v>
      </c>
      <c r="C70" s="214" t="s">
        <v>55</v>
      </c>
      <c r="D70" s="216" t="s">
        <v>368</v>
      </c>
    </row>
    <row r="71" spans="1:4" ht="15.6">
      <c r="A71" s="671" t="s">
        <v>369</v>
      </c>
      <c r="B71" s="671"/>
      <c r="C71" s="671"/>
      <c r="D71" s="671"/>
    </row>
    <row r="72" spans="1:4" ht="12.95">
      <c r="A72" s="212" t="s">
        <v>239</v>
      </c>
      <c r="B72" s="212" t="s">
        <v>240</v>
      </c>
      <c r="C72" s="212" t="s">
        <v>241</v>
      </c>
      <c r="D72" s="212" t="s">
        <v>242</v>
      </c>
    </row>
    <row r="73" spans="1:4" ht="50.1">
      <c r="A73" s="214" t="s">
        <v>111</v>
      </c>
      <c r="B73" s="214" t="s">
        <v>112</v>
      </c>
      <c r="C73" s="214" t="s">
        <v>370</v>
      </c>
      <c r="D73" s="76" t="s">
        <v>371</v>
      </c>
    </row>
    <row r="74" spans="1:4" ht="37.5">
      <c r="A74" s="214" t="s">
        <v>118</v>
      </c>
      <c r="B74" s="214" t="s">
        <v>119</v>
      </c>
      <c r="C74" s="214" t="s">
        <v>111</v>
      </c>
      <c r="D74" s="230" t="s">
        <v>372</v>
      </c>
    </row>
    <row r="75" spans="1:4" ht="37.5">
      <c r="A75" s="214" t="s">
        <v>125</v>
      </c>
      <c r="B75" s="214" t="s">
        <v>126</v>
      </c>
      <c r="C75" s="214" t="s">
        <v>118</v>
      </c>
      <c r="D75" s="216" t="s">
        <v>373</v>
      </c>
    </row>
    <row r="76" spans="1:4" ht="66" customHeight="1">
      <c r="A76" s="214" t="s">
        <v>113</v>
      </c>
      <c r="B76" s="214" t="s">
        <v>114</v>
      </c>
      <c r="C76" s="214" t="s">
        <v>370</v>
      </c>
      <c r="D76" s="216" t="s">
        <v>374</v>
      </c>
    </row>
    <row r="77" spans="1:4" ht="50.1">
      <c r="A77" s="214" t="s">
        <v>120</v>
      </c>
      <c r="B77" s="214" t="s">
        <v>121</v>
      </c>
      <c r="C77" s="214" t="s">
        <v>113</v>
      </c>
      <c r="D77" s="216" t="s">
        <v>375</v>
      </c>
    </row>
    <row r="78" spans="1:4" ht="62.45">
      <c r="A78" s="222" t="s">
        <v>127</v>
      </c>
      <c r="B78" s="214" t="s">
        <v>128</v>
      </c>
      <c r="C78" s="214" t="s">
        <v>127</v>
      </c>
      <c r="D78" s="216" t="s">
        <v>376</v>
      </c>
    </row>
    <row r="79" spans="1:4" ht="75">
      <c r="A79" s="214" t="s">
        <v>115</v>
      </c>
      <c r="B79" s="214" t="s">
        <v>377</v>
      </c>
      <c r="C79" s="214" t="s">
        <v>370</v>
      </c>
      <c r="D79" s="216" t="s">
        <v>378</v>
      </c>
    </row>
    <row r="80" spans="1:4" ht="37.5">
      <c r="A80" s="214" t="s">
        <v>122</v>
      </c>
      <c r="B80" s="214" t="s">
        <v>379</v>
      </c>
      <c r="C80" s="214" t="s">
        <v>115</v>
      </c>
      <c r="D80" s="216" t="s">
        <v>380</v>
      </c>
    </row>
    <row r="81" spans="1:4" ht="37.5">
      <c r="A81" s="222" t="s">
        <v>129</v>
      </c>
      <c r="B81" s="214" t="s">
        <v>130</v>
      </c>
      <c r="C81" s="214" t="s">
        <v>122</v>
      </c>
      <c r="D81" s="216" t="s">
        <v>381</v>
      </c>
    </row>
    <row r="82" spans="1:4" ht="17.45">
      <c r="A82" s="672" t="s">
        <v>382</v>
      </c>
      <c r="B82" s="673"/>
      <c r="C82" s="673"/>
      <c r="D82" s="674"/>
    </row>
    <row r="83" spans="1:4" ht="15.6">
      <c r="A83" s="666" t="s">
        <v>383</v>
      </c>
      <c r="B83" s="667"/>
      <c r="C83" s="667"/>
      <c r="D83" s="668"/>
    </row>
    <row r="84" spans="1:4" ht="13.5" thickBot="1">
      <c r="A84" s="212" t="s">
        <v>239</v>
      </c>
      <c r="B84" s="212" t="s">
        <v>240</v>
      </c>
      <c r="C84" s="212" t="s">
        <v>241</v>
      </c>
      <c r="D84" s="212" t="s">
        <v>242</v>
      </c>
    </row>
    <row r="85" spans="1:4" ht="160.5" customHeight="1" thickBot="1">
      <c r="A85" s="235" t="s">
        <v>77</v>
      </c>
      <c r="B85" s="235" t="s">
        <v>384</v>
      </c>
      <c r="C85" s="236" t="s">
        <v>370</v>
      </c>
      <c r="D85" s="237" t="s">
        <v>385</v>
      </c>
    </row>
    <row r="86" spans="1:4" ht="151.5" customHeight="1" thickBot="1">
      <c r="A86" s="235" t="s">
        <v>72</v>
      </c>
      <c r="B86" s="235" t="s">
        <v>386</v>
      </c>
      <c r="C86" s="236" t="s">
        <v>370</v>
      </c>
      <c r="D86" s="216" t="s">
        <v>387</v>
      </c>
    </row>
    <row r="87" spans="1:4" ht="12.75" customHeight="1">
      <c r="A87" s="655" t="s">
        <v>78</v>
      </c>
      <c r="B87" s="655" t="s">
        <v>197</v>
      </c>
      <c r="C87" s="657" t="s">
        <v>370</v>
      </c>
      <c r="D87" s="269" t="s">
        <v>388</v>
      </c>
    </row>
    <row r="88" spans="1:4" ht="12.75" customHeight="1">
      <c r="A88" s="662"/>
      <c r="B88" s="662"/>
      <c r="C88" s="663"/>
      <c r="D88" s="269" t="s">
        <v>389</v>
      </c>
    </row>
    <row r="89" spans="1:4" ht="25.5" thickBot="1">
      <c r="A89" s="662"/>
      <c r="B89" s="662"/>
      <c r="C89" s="663"/>
      <c r="D89" s="269" t="s">
        <v>390</v>
      </c>
    </row>
    <row r="90" spans="1:4" ht="181.5" customHeight="1">
      <c r="A90" s="655" t="s">
        <v>65</v>
      </c>
      <c r="B90" s="655" t="s">
        <v>391</v>
      </c>
      <c r="C90" s="657" t="s">
        <v>370</v>
      </c>
      <c r="D90" s="664" t="s">
        <v>392</v>
      </c>
    </row>
    <row r="91" spans="1:4" ht="12.95" thickBot="1">
      <c r="A91" s="656"/>
      <c r="B91" s="656"/>
      <c r="C91" s="658"/>
      <c r="D91" s="665"/>
    </row>
    <row r="92" spans="1:4" ht="136.5" customHeight="1">
      <c r="A92" s="655" t="s">
        <v>66</v>
      </c>
      <c r="B92" s="655" t="s">
        <v>393</v>
      </c>
      <c r="C92" s="657" t="s">
        <v>370</v>
      </c>
      <c r="D92" s="664" t="s">
        <v>394</v>
      </c>
    </row>
    <row r="93" spans="1:4" ht="12.95" thickBot="1">
      <c r="A93" s="656"/>
      <c r="B93" s="656"/>
      <c r="C93" s="658"/>
      <c r="D93" s="665"/>
    </row>
    <row r="94" spans="1:4" ht="140.25" customHeight="1" thickBot="1">
      <c r="A94" s="232" t="s">
        <v>92</v>
      </c>
      <c r="B94" s="233" t="s">
        <v>200</v>
      </c>
      <c r="C94" s="234" t="s">
        <v>370</v>
      </c>
      <c r="D94" s="238" t="s">
        <v>395</v>
      </c>
    </row>
    <row r="95" spans="1:4" ht="138" thickBot="1">
      <c r="A95" s="232" t="s">
        <v>48</v>
      </c>
      <c r="B95" s="233" t="s">
        <v>396</v>
      </c>
      <c r="C95" s="234" t="s">
        <v>370</v>
      </c>
      <c r="D95" s="238" t="s">
        <v>397</v>
      </c>
    </row>
    <row r="96" spans="1:4" ht="15.6">
      <c r="A96" s="666" t="s">
        <v>398</v>
      </c>
      <c r="B96" s="667"/>
      <c r="C96" s="667"/>
      <c r="D96" s="668"/>
    </row>
    <row r="97" spans="1:4" ht="12.95">
      <c r="A97" s="223" t="s">
        <v>239</v>
      </c>
      <c r="B97" s="223" t="s">
        <v>240</v>
      </c>
      <c r="C97" s="223" t="s">
        <v>241</v>
      </c>
      <c r="D97" s="223" t="s">
        <v>242</v>
      </c>
    </row>
    <row r="98" spans="1:4" ht="37.5">
      <c r="A98" s="214" t="s">
        <v>90</v>
      </c>
      <c r="B98" s="214" t="s">
        <v>195</v>
      </c>
      <c r="C98" s="214" t="s">
        <v>370</v>
      </c>
      <c r="D98" s="216" t="s">
        <v>399</v>
      </c>
    </row>
    <row r="99" spans="1:4" ht="15.6">
      <c r="A99" s="661" t="s">
        <v>400</v>
      </c>
      <c r="B99" s="661"/>
      <c r="C99" s="661"/>
      <c r="D99" s="661"/>
    </row>
    <row r="100" spans="1:4" ht="13.5" thickBot="1">
      <c r="A100" s="224" t="s">
        <v>239</v>
      </c>
      <c r="B100" s="224" t="s">
        <v>240</v>
      </c>
      <c r="C100" s="224" t="s">
        <v>241</v>
      </c>
      <c r="D100" s="224" t="s">
        <v>242</v>
      </c>
    </row>
    <row r="101" spans="1:4" ht="106.5" customHeight="1">
      <c r="A101" s="655" t="s">
        <v>79</v>
      </c>
      <c r="B101" s="655" t="s">
        <v>401</v>
      </c>
      <c r="C101" s="657" t="s">
        <v>370</v>
      </c>
      <c r="D101" s="659" t="s">
        <v>402</v>
      </c>
    </row>
    <row r="102" spans="1:4" ht="13.5" customHeight="1" thickBot="1">
      <c r="A102" s="656"/>
      <c r="B102" s="656"/>
      <c r="C102" s="658"/>
      <c r="D102" s="660"/>
    </row>
    <row r="103" spans="1:4" ht="91.5" customHeight="1">
      <c r="A103" s="655" t="s">
        <v>80</v>
      </c>
      <c r="B103" s="655" t="s">
        <v>403</v>
      </c>
      <c r="C103" s="657" t="s">
        <v>370</v>
      </c>
      <c r="D103" s="659" t="s">
        <v>404</v>
      </c>
    </row>
    <row r="104" spans="1:4" ht="13.5" customHeight="1" thickBot="1">
      <c r="A104" s="656"/>
      <c r="B104" s="656"/>
      <c r="C104" s="658"/>
      <c r="D104" s="660"/>
    </row>
    <row r="105" spans="1:4" ht="61.5" customHeight="1">
      <c r="A105" s="655" t="s">
        <v>81</v>
      </c>
      <c r="B105" s="655" t="s">
        <v>220</v>
      </c>
      <c r="C105" s="657" t="s">
        <v>370</v>
      </c>
      <c r="D105" s="659" t="s">
        <v>405</v>
      </c>
    </row>
    <row r="106" spans="1:4" ht="13.5" customHeight="1" thickBot="1">
      <c r="A106" s="656"/>
      <c r="B106" s="656"/>
      <c r="C106" s="658"/>
      <c r="D106" s="660"/>
    </row>
    <row r="107" spans="1:4" ht="13.5" customHeight="1">
      <c r="A107" s="666" t="s">
        <v>406</v>
      </c>
      <c r="B107" s="667"/>
      <c r="C107" s="667"/>
      <c r="D107" s="668"/>
    </row>
    <row r="108" spans="1:4" ht="13.5" customHeight="1">
      <c r="A108" s="223" t="s">
        <v>239</v>
      </c>
      <c r="B108" s="223" t="s">
        <v>240</v>
      </c>
      <c r="C108" s="223" t="s">
        <v>241</v>
      </c>
      <c r="D108" s="223" t="s">
        <v>242</v>
      </c>
    </row>
    <row r="109" spans="1:4" ht="56.25" customHeight="1">
      <c r="A109" s="214" t="s">
        <v>407</v>
      </c>
      <c r="B109" s="214" t="s">
        <v>408</v>
      </c>
      <c r="C109" s="214"/>
      <c r="D109" s="239" t="s">
        <v>409</v>
      </c>
    </row>
    <row r="110" spans="1:4" ht="15.6">
      <c r="A110" s="661" t="s">
        <v>410</v>
      </c>
      <c r="B110" s="661"/>
      <c r="C110" s="661"/>
      <c r="D110" s="661"/>
    </row>
    <row r="111" spans="1:4" ht="12.95">
      <c r="A111" s="224" t="s">
        <v>239</v>
      </c>
      <c r="B111" s="224" t="s">
        <v>240</v>
      </c>
      <c r="C111" s="224" t="s">
        <v>241</v>
      </c>
      <c r="D111" s="224" t="s">
        <v>242</v>
      </c>
    </row>
    <row r="112" spans="1:4" ht="37.5">
      <c r="A112" s="225" t="s">
        <v>73</v>
      </c>
      <c r="B112" s="214" t="s">
        <v>411</v>
      </c>
      <c r="C112" s="214" t="s">
        <v>370</v>
      </c>
      <c r="D112" s="216" t="s">
        <v>412</v>
      </c>
    </row>
    <row r="113" spans="1:4" ht="37.5">
      <c r="A113" s="225" t="s">
        <v>74</v>
      </c>
      <c r="B113" s="214" t="s">
        <v>413</v>
      </c>
      <c r="C113" s="214" t="s">
        <v>370</v>
      </c>
      <c r="D113" s="216" t="s">
        <v>414</v>
      </c>
    </row>
    <row r="114" spans="1:4" ht="37.5">
      <c r="A114" s="225" t="s">
        <v>75</v>
      </c>
      <c r="B114" s="214" t="s">
        <v>415</v>
      </c>
      <c r="C114" s="214" t="s">
        <v>370</v>
      </c>
      <c r="D114" s="216" t="s">
        <v>416</v>
      </c>
    </row>
    <row r="115" spans="1:4" ht="37.5">
      <c r="A115" s="225" t="s">
        <v>76</v>
      </c>
      <c r="B115" s="214" t="s">
        <v>417</v>
      </c>
      <c r="C115" s="214" t="s">
        <v>370</v>
      </c>
      <c r="D115" s="216" t="s">
        <v>418</v>
      </c>
    </row>
    <row r="116" spans="1:4">
      <c r="A116" s="226"/>
      <c r="B116" s="218"/>
      <c r="C116" s="218"/>
      <c r="D116" s="221"/>
    </row>
    <row r="117" spans="1:4" ht="15.6">
      <c r="A117" s="661" t="s">
        <v>419</v>
      </c>
      <c r="B117" s="661"/>
      <c r="C117" s="661"/>
      <c r="D117" s="661"/>
    </row>
    <row r="118" spans="1:4" ht="12.95">
      <c r="A118" s="212" t="s">
        <v>239</v>
      </c>
      <c r="B118" s="212" t="s">
        <v>240</v>
      </c>
      <c r="C118" s="212" t="s">
        <v>241</v>
      </c>
      <c r="D118" s="212" t="s">
        <v>242</v>
      </c>
    </row>
    <row r="119" spans="1:4" ht="24.95">
      <c r="A119" s="214" t="s">
        <v>175</v>
      </c>
      <c r="B119" s="214" t="s">
        <v>420</v>
      </c>
      <c r="C119" s="214" t="s">
        <v>370</v>
      </c>
      <c r="D119" s="216" t="s">
        <v>421</v>
      </c>
    </row>
    <row r="120" spans="1:4" ht="24.95">
      <c r="A120" s="214" t="s">
        <v>172</v>
      </c>
      <c r="B120" s="214" t="s">
        <v>422</v>
      </c>
      <c r="C120" s="214" t="s">
        <v>175</v>
      </c>
      <c r="D120" s="216" t="s">
        <v>421</v>
      </c>
    </row>
  </sheetData>
  <mergeCells count="39">
    <mergeCell ref="A83:D83"/>
    <mergeCell ref="A96:D96"/>
    <mergeCell ref="A22:D22"/>
    <mergeCell ref="A29:D29"/>
    <mergeCell ref="A30:D30"/>
    <mergeCell ref="A71:D71"/>
    <mergeCell ref="A82:D82"/>
    <mergeCell ref="A1:D1"/>
    <mergeCell ref="A2:D2"/>
    <mergeCell ref="A3:D3"/>
    <mergeCell ref="A10:D10"/>
    <mergeCell ref="A16:D16"/>
    <mergeCell ref="A110:D110"/>
    <mergeCell ref="A117:D117"/>
    <mergeCell ref="A87:A89"/>
    <mergeCell ref="B87:B89"/>
    <mergeCell ref="C87:C89"/>
    <mergeCell ref="A90:A91"/>
    <mergeCell ref="B90:B91"/>
    <mergeCell ref="C90:C91"/>
    <mergeCell ref="D90:D91"/>
    <mergeCell ref="A92:A93"/>
    <mergeCell ref="B92:B93"/>
    <mergeCell ref="C92:C93"/>
    <mergeCell ref="D92:D93"/>
    <mergeCell ref="A99:D99"/>
    <mergeCell ref="A107:D107"/>
    <mergeCell ref="A105:A106"/>
    <mergeCell ref="B105:B106"/>
    <mergeCell ref="C105:C106"/>
    <mergeCell ref="D101:D102"/>
    <mergeCell ref="D103:D104"/>
    <mergeCell ref="D105:D106"/>
    <mergeCell ref="A101:A102"/>
    <mergeCell ref="B101:B102"/>
    <mergeCell ref="C101:C102"/>
    <mergeCell ref="A103:A104"/>
    <mergeCell ref="B103:B104"/>
    <mergeCell ref="C103:C104"/>
  </mergeCells>
  <pageMargins left="0.7" right="0.7" top="0.75" bottom="0.75" header="0.3" footer="0.3"/>
  <pageSetup paperSize="9" scale="77" orientation="portrait" r:id="rId1"/>
  <rowBreaks count="2" manualBreakCount="2">
    <brk id="89" max="3" man="1"/>
    <brk id="10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L157"/>
  <sheetViews>
    <sheetView view="pageBreakPreview" topLeftCell="A142" zoomScale="95" zoomScaleNormal="124" zoomScaleSheetLayoutView="95" workbookViewId="0">
      <selection activeCell="B20" sqref="B20"/>
    </sheetView>
  </sheetViews>
  <sheetFormatPr defaultColWidth="9.140625" defaultRowHeight="12.6"/>
  <cols>
    <col min="1" max="1" width="20.140625" style="189" bestFit="1" customWidth="1"/>
    <col min="2" max="2" width="43.140625" bestFit="1" customWidth="1"/>
    <col min="3" max="3" width="15.85546875" style="189" customWidth="1"/>
    <col min="4" max="4" width="31.5703125" style="189" customWidth="1"/>
  </cols>
  <sheetData>
    <row r="3" spans="1:4">
      <c r="D3" s="187"/>
    </row>
    <row r="7" spans="1:4" ht="15.6">
      <c r="A7" s="675" t="s">
        <v>0</v>
      </c>
      <c r="B7" s="675"/>
      <c r="C7" s="675"/>
      <c r="D7" s="675"/>
    </row>
    <row r="8" spans="1:4" ht="15.6">
      <c r="A8" s="675" t="s">
        <v>423</v>
      </c>
      <c r="B8" s="675"/>
      <c r="C8" s="675"/>
      <c r="D8" s="675"/>
    </row>
    <row r="9" spans="1:4" ht="15.6">
      <c r="A9" s="193"/>
    </row>
    <row r="10" spans="1:4" ht="12.75" customHeight="1">
      <c r="B10" s="68"/>
      <c r="C10" s="193"/>
      <c r="D10" s="193"/>
    </row>
    <row r="11" spans="1:4" ht="15.6">
      <c r="A11" s="675" t="s">
        <v>424</v>
      </c>
      <c r="B11" s="675"/>
      <c r="C11" s="675"/>
      <c r="D11" s="675"/>
    </row>
    <row r="12" spans="1:4" ht="12.95">
      <c r="A12" s="676" t="s">
        <v>425</v>
      </c>
      <c r="B12" s="676"/>
      <c r="C12" s="676"/>
      <c r="D12" s="676"/>
    </row>
    <row r="13" spans="1:4">
      <c r="A13" s="677"/>
      <c r="B13" s="677"/>
      <c r="C13" s="677"/>
      <c r="D13" s="677"/>
    </row>
    <row r="14" spans="1:4">
      <c r="A14" s="192"/>
      <c r="B14" s="67"/>
      <c r="C14" s="192"/>
      <c r="D14" s="192"/>
    </row>
    <row r="15" spans="1:4" ht="15.6">
      <c r="A15" s="675" t="s">
        <v>147</v>
      </c>
      <c r="B15" s="675"/>
      <c r="C15" s="675"/>
      <c r="D15" s="675"/>
    </row>
    <row r="16" spans="1:4" ht="15.6">
      <c r="A16" s="193"/>
    </row>
    <row r="17" spans="1:4" ht="13.5" thickBot="1">
      <c r="A17" s="706" t="s">
        <v>426</v>
      </c>
      <c r="B17" s="706"/>
      <c r="C17" s="706"/>
      <c r="D17" s="706"/>
    </row>
    <row r="18" spans="1:4" ht="13.5" thickBot="1">
      <c r="A18" s="383" t="s">
        <v>427</v>
      </c>
      <c r="B18" s="384" t="s">
        <v>428</v>
      </c>
      <c r="C18" s="385" t="s">
        <v>429</v>
      </c>
      <c r="D18" s="385" t="s">
        <v>430</v>
      </c>
    </row>
    <row r="19" spans="1:4">
      <c r="A19" s="386" t="s">
        <v>20</v>
      </c>
      <c r="B19" s="387" t="s">
        <v>154</v>
      </c>
      <c r="C19" s="388">
        <v>3</v>
      </c>
      <c r="D19" s="393"/>
    </row>
    <row r="20" spans="1:4" ht="24.95">
      <c r="A20" s="175" t="s">
        <v>34</v>
      </c>
      <c r="B20" s="76" t="s">
        <v>157</v>
      </c>
      <c r="C20" s="75">
        <v>4</v>
      </c>
      <c r="D20" s="396"/>
    </row>
    <row r="21" spans="1:4">
      <c r="A21" s="175" t="s">
        <v>45</v>
      </c>
      <c r="B21" s="1" t="s">
        <v>161</v>
      </c>
      <c r="C21" s="75">
        <v>1</v>
      </c>
      <c r="D21" s="396"/>
    </row>
    <row r="22" spans="1:4">
      <c r="A22" s="175" t="s">
        <v>164</v>
      </c>
      <c r="B22" s="1" t="s">
        <v>165</v>
      </c>
      <c r="C22" s="75">
        <v>2</v>
      </c>
      <c r="D22" s="396"/>
    </row>
    <row r="23" spans="1:4">
      <c r="A23" s="175" t="s">
        <v>65</v>
      </c>
      <c r="B23" s="1" t="s">
        <v>168</v>
      </c>
      <c r="C23" s="75">
        <v>3</v>
      </c>
      <c r="D23" s="396"/>
    </row>
    <row r="24" spans="1:4">
      <c r="A24" s="175" t="s">
        <v>73</v>
      </c>
      <c r="B24" s="1" t="s">
        <v>171</v>
      </c>
      <c r="C24" s="75">
        <v>2</v>
      </c>
      <c r="D24" s="396"/>
    </row>
    <row r="25" spans="1:4" ht="12.95" thickBot="1">
      <c r="A25" s="186" t="s">
        <v>175</v>
      </c>
      <c r="B25" s="65" t="s">
        <v>176</v>
      </c>
      <c r="C25" s="198">
        <v>3</v>
      </c>
      <c r="D25" s="394"/>
    </row>
    <row r="26" spans="1:4" ht="12.95">
      <c r="B26" s="71" t="s">
        <v>431</v>
      </c>
      <c r="C26" s="199">
        <f>SUM(C19:C25)</f>
        <v>18</v>
      </c>
    </row>
    <row r="27" spans="1:4" ht="12.95">
      <c r="B27" s="72"/>
      <c r="C27" s="200"/>
    </row>
    <row r="28" spans="1:4" ht="13.5" thickBot="1">
      <c r="A28" s="706" t="s">
        <v>432</v>
      </c>
      <c r="B28" s="706"/>
      <c r="C28" s="706"/>
      <c r="D28" s="706"/>
    </row>
    <row r="29" spans="1:4" ht="12.95">
      <c r="A29" s="194" t="s">
        <v>427</v>
      </c>
      <c r="B29" s="70" t="s">
        <v>428</v>
      </c>
      <c r="C29" s="197" t="s">
        <v>429</v>
      </c>
      <c r="D29" s="197" t="s">
        <v>430</v>
      </c>
    </row>
    <row r="30" spans="1:4">
      <c r="A30" s="175" t="s">
        <v>21</v>
      </c>
      <c r="B30" s="1" t="s">
        <v>155</v>
      </c>
      <c r="C30" s="75">
        <v>3</v>
      </c>
      <c r="D30" s="176" t="s">
        <v>154</v>
      </c>
    </row>
    <row r="31" spans="1:4" ht="24.95">
      <c r="A31" s="175" t="s">
        <v>158</v>
      </c>
      <c r="B31" s="76" t="s">
        <v>159</v>
      </c>
      <c r="C31" s="75">
        <v>4</v>
      </c>
      <c r="D31" s="176" t="s">
        <v>154</v>
      </c>
    </row>
    <row r="32" spans="1:4">
      <c r="A32" s="175" t="s">
        <v>55</v>
      </c>
      <c r="B32" s="1" t="s">
        <v>162</v>
      </c>
      <c r="C32" s="75">
        <v>2</v>
      </c>
      <c r="D32" s="207" t="s">
        <v>165</v>
      </c>
    </row>
    <row r="33" spans="1:10">
      <c r="A33" s="175" t="s">
        <v>66</v>
      </c>
      <c r="B33" s="1" t="s">
        <v>166</v>
      </c>
      <c r="C33" s="75">
        <v>3</v>
      </c>
      <c r="D33" s="74"/>
    </row>
    <row r="34" spans="1:10">
      <c r="A34" s="175" t="s">
        <v>74</v>
      </c>
      <c r="B34" s="1" t="s">
        <v>169</v>
      </c>
      <c r="C34" s="75">
        <v>2</v>
      </c>
      <c r="D34" s="74" t="s">
        <v>171</v>
      </c>
    </row>
    <row r="35" spans="1:10" ht="13.5" thickBot="1">
      <c r="A35" s="186" t="s">
        <v>172</v>
      </c>
      <c r="B35" s="173" t="s">
        <v>173</v>
      </c>
      <c r="C35" s="211">
        <v>3</v>
      </c>
      <c r="D35" s="177" t="s">
        <v>176</v>
      </c>
    </row>
    <row r="36" spans="1:10" ht="12.95">
      <c r="B36" s="71" t="s">
        <v>431</v>
      </c>
      <c r="C36" s="199">
        <f>SUM(C30:C35)</f>
        <v>17</v>
      </c>
    </row>
    <row r="37" spans="1:10" ht="12.95">
      <c r="B37" s="72"/>
    </row>
    <row r="38" spans="1:10" ht="13.5" thickBot="1">
      <c r="A38" s="706" t="s">
        <v>433</v>
      </c>
      <c r="B38" s="706"/>
      <c r="C38" s="706"/>
      <c r="D38" s="706"/>
    </row>
    <row r="39" spans="1:10" ht="13.5" thickBot="1">
      <c r="A39" s="383" t="s">
        <v>427</v>
      </c>
      <c r="B39" s="384" t="s">
        <v>428</v>
      </c>
      <c r="C39" s="385" t="s">
        <v>429</v>
      </c>
      <c r="D39" s="385" t="s">
        <v>430</v>
      </c>
    </row>
    <row r="40" spans="1:10">
      <c r="A40" s="386" t="s">
        <v>22</v>
      </c>
      <c r="B40" s="395" t="s">
        <v>156</v>
      </c>
      <c r="C40" s="388">
        <v>3</v>
      </c>
      <c r="D40" s="393" t="s">
        <v>154</v>
      </c>
    </row>
    <row r="41" spans="1:10" ht="24.95">
      <c r="A41" s="175" t="s">
        <v>36</v>
      </c>
      <c r="B41" s="76" t="s">
        <v>160</v>
      </c>
      <c r="C41" s="75">
        <v>4</v>
      </c>
      <c r="D41" s="392" t="s">
        <v>159</v>
      </c>
    </row>
    <row r="42" spans="1:10">
      <c r="A42" s="175" t="s">
        <v>46</v>
      </c>
      <c r="B42" s="1" t="s">
        <v>163</v>
      </c>
      <c r="C42" s="75">
        <v>3</v>
      </c>
      <c r="D42" s="271"/>
      <c r="I42" s="66"/>
    </row>
    <row r="43" spans="1:10">
      <c r="A43" s="175" t="s">
        <v>56</v>
      </c>
      <c r="B43" s="1" t="s">
        <v>167</v>
      </c>
      <c r="C43" s="75">
        <v>2</v>
      </c>
      <c r="D43" s="270" t="s">
        <v>162</v>
      </c>
    </row>
    <row r="44" spans="1:10">
      <c r="A44" s="175" t="s">
        <v>75</v>
      </c>
      <c r="B44" s="1" t="s">
        <v>170</v>
      </c>
      <c r="C44" s="75">
        <v>2</v>
      </c>
      <c r="D44" s="270" t="s">
        <v>169</v>
      </c>
    </row>
    <row r="45" spans="1:10" ht="12.95" thickBot="1">
      <c r="A45" s="186" t="s">
        <v>89</v>
      </c>
      <c r="B45" s="65" t="s">
        <v>174</v>
      </c>
      <c r="C45" s="198">
        <v>3</v>
      </c>
      <c r="D45" s="272" t="s">
        <v>154</v>
      </c>
    </row>
    <row r="46" spans="1:10" ht="12.95">
      <c r="B46" s="71" t="s">
        <v>431</v>
      </c>
      <c r="C46" s="199">
        <f>SUM(C40:C45)</f>
        <v>17</v>
      </c>
    </row>
    <row r="47" spans="1:10">
      <c r="H47" s="67"/>
      <c r="J47" s="67"/>
    </row>
    <row r="48" spans="1:10">
      <c r="H48" s="67"/>
      <c r="J48" s="67"/>
    </row>
    <row r="49" spans="1:11" ht="15.6">
      <c r="A49" s="675" t="s">
        <v>177</v>
      </c>
      <c r="B49" s="675"/>
      <c r="C49" s="675"/>
      <c r="D49" s="675"/>
    </row>
    <row r="50" spans="1:11" ht="15.6">
      <c r="A50" s="193"/>
      <c r="H50" s="67"/>
      <c r="J50" s="67"/>
      <c r="K50" s="187"/>
    </row>
    <row r="51" spans="1:11" ht="13.5" thickBot="1">
      <c r="A51" s="706" t="s">
        <v>426</v>
      </c>
      <c r="B51" s="706"/>
      <c r="C51" s="706"/>
      <c r="D51" s="706"/>
      <c r="H51" s="67"/>
      <c r="I51" s="187"/>
      <c r="J51" s="67"/>
    </row>
    <row r="52" spans="1:11" ht="13.5" thickBot="1">
      <c r="A52" s="383" t="s">
        <v>427</v>
      </c>
      <c r="B52" s="384" t="s">
        <v>428</v>
      </c>
      <c r="C52" s="385" t="s">
        <v>429</v>
      </c>
      <c r="D52" s="385" t="s">
        <v>430</v>
      </c>
    </row>
    <row r="53" spans="1:11">
      <c r="A53" s="386" t="s">
        <v>23</v>
      </c>
      <c r="B53" s="395" t="s">
        <v>178</v>
      </c>
      <c r="C53" s="388">
        <v>3</v>
      </c>
      <c r="D53" s="389" t="s">
        <v>155</v>
      </c>
    </row>
    <row r="54" spans="1:11" ht="37.5">
      <c r="A54" s="175" t="s">
        <v>181</v>
      </c>
      <c r="B54" s="176" t="s">
        <v>182</v>
      </c>
      <c r="C54" s="75">
        <v>4</v>
      </c>
      <c r="D54" s="392" t="s">
        <v>160</v>
      </c>
    </row>
    <row r="55" spans="1:11">
      <c r="A55" s="175" t="s">
        <v>47</v>
      </c>
      <c r="B55" s="1" t="s">
        <v>185</v>
      </c>
      <c r="C55" s="75">
        <v>1</v>
      </c>
      <c r="D55" s="270"/>
    </row>
    <row r="56" spans="1:11">
      <c r="A56" s="175" t="s">
        <v>57</v>
      </c>
      <c r="B56" s="1" t="s">
        <v>188</v>
      </c>
      <c r="C56" s="75">
        <v>3</v>
      </c>
      <c r="D56" s="270" t="s">
        <v>167</v>
      </c>
    </row>
    <row r="57" spans="1:11">
      <c r="A57" s="175" t="s">
        <v>67</v>
      </c>
      <c r="B57" s="174" t="s">
        <v>191</v>
      </c>
      <c r="C57" s="75">
        <v>1</v>
      </c>
      <c r="D57" s="270" t="s">
        <v>162</v>
      </c>
    </row>
    <row r="58" spans="1:11">
      <c r="A58" s="175" t="s">
        <v>90</v>
      </c>
      <c r="B58" s="1" t="s">
        <v>195</v>
      </c>
      <c r="C58" s="75">
        <v>3</v>
      </c>
      <c r="D58" s="271"/>
    </row>
    <row r="59" spans="1:11" ht="12.95" thickBot="1">
      <c r="A59" s="186" t="s">
        <v>76</v>
      </c>
      <c r="B59" s="65" t="s">
        <v>198</v>
      </c>
      <c r="C59" s="198">
        <v>2</v>
      </c>
      <c r="D59" s="272" t="s">
        <v>170</v>
      </c>
    </row>
    <row r="60" spans="1:11" ht="12.95">
      <c r="A60" s="192"/>
      <c r="B60" s="71" t="s">
        <v>431</v>
      </c>
      <c r="C60" s="199">
        <f>SUM(C53:C59)</f>
        <v>17</v>
      </c>
      <c r="H60" s="67"/>
      <c r="J60" s="67"/>
    </row>
    <row r="61" spans="1:11" ht="12.95">
      <c r="A61" s="192"/>
      <c r="B61" s="71"/>
      <c r="C61" s="201"/>
      <c r="H61" s="67"/>
      <c r="J61" s="67"/>
    </row>
    <row r="62" spans="1:11" ht="12.95">
      <c r="A62" s="192"/>
      <c r="B62" s="72"/>
      <c r="C62" s="200"/>
    </row>
    <row r="63" spans="1:11" ht="13.5" thickBot="1">
      <c r="A63" s="706" t="s">
        <v>432</v>
      </c>
      <c r="B63" s="706"/>
      <c r="C63" s="706"/>
      <c r="D63" s="706"/>
    </row>
    <row r="64" spans="1:11" ht="13.5" thickBot="1">
      <c r="A64" s="383" t="s">
        <v>427</v>
      </c>
      <c r="B64" s="384" t="s">
        <v>428</v>
      </c>
      <c r="C64" s="385" t="s">
        <v>429</v>
      </c>
      <c r="D64" s="385" t="s">
        <v>430</v>
      </c>
      <c r="H64" s="67"/>
      <c r="J64" s="67"/>
    </row>
    <row r="65" spans="1:12">
      <c r="A65" s="386" t="s">
        <v>24</v>
      </c>
      <c r="B65" s="387" t="s">
        <v>179</v>
      </c>
      <c r="C65" s="388">
        <v>3</v>
      </c>
      <c r="D65" s="393" t="s">
        <v>178</v>
      </c>
      <c r="H65" s="67"/>
      <c r="I65" s="189"/>
      <c r="J65" s="192"/>
    </row>
    <row r="66" spans="1:12" ht="37.5">
      <c r="A66" s="175" t="s">
        <v>38</v>
      </c>
      <c r="B66" s="76" t="s">
        <v>183</v>
      </c>
      <c r="C66" s="75">
        <v>4</v>
      </c>
      <c r="D66" s="271" t="s">
        <v>182</v>
      </c>
      <c r="H66" s="67"/>
      <c r="I66" s="189"/>
      <c r="J66" s="192"/>
    </row>
    <row r="67" spans="1:12">
      <c r="A67" s="175" t="s">
        <v>48</v>
      </c>
      <c r="B67" s="1" t="s">
        <v>186</v>
      </c>
      <c r="C67" s="75">
        <v>3</v>
      </c>
      <c r="D67" s="270"/>
      <c r="H67" s="67"/>
      <c r="J67" s="67"/>
    </row>
    <row r="68" spans="1:12">
      <c r="A68" s="175" t="s">
        <v>68</v>
      </c>
      <c r="B68" s="174" t="s">
        <v>189</v>
      </c>
      <c r="C68" s="75">
        <v>1</v>
      </c>
      <c r="D68" s="270"/>
    </row>
    <row r="69" spans="1:12">
      <c r="A69" s="175" t="s">
        <v>58</v>
      </c>
      <c r="B69" s="1" t="s">
        <v>192</v>
      </c>
      <c r="C69" s="75">
        <v>3</v>
      </c>
      <c r="D69" s="270"/>
      <c r="H69" s="67"/>
      <c r="J69" s="67"/>
      <c r="L69" s="192"/>
    </row>
    <row r="70" spans="1:12">
      <c r="A70" s="175" t="s">
        <v>91</v>
      </c>
      <c r="B70" s="73" t="s">
        <v>196</v>
      </c>
      <c r="C70" s="75">
        <v>1</v>
      </c>
      <c r="D70" s="270" t="s">
        <v>264</v>
      </c>
      <c r="H70" s="67"/>
      <c r="J70" s="67"/>
      <c r="L70" s="192"/>
    </row>
    <row r="71" spans="1:12" ht="12.95" thickBot="1">
      <c r="A71" s="186" t="s">
        <v>77</v>
      </c>
      <c r="B71" s="65" t="s">
        <v>199</v>
      </c>
      <c r="C71" s="198">
        <v>3</v>
      </c>
      <c r="D71" s="394"/>
      <c r="H71" s="67"/>
      <c r="I71" s="189"/>
      <c r="J71" s="192"/>
      <c r="L71" s="192"/>
    </row>
    <row r="72" spans="1:12" ht="12.95">
      <c r="A72" s="192"/>
      <c r="B72" s="71" t="s">
        <v>431</v>
      </c>
      <c r="C72" s="199">
        <f>SUM(C65:C71)</f>
        <v>18</v>
      </c>
    </row>
    <row r="73" spans="1:12" ht="13.5" customHeight="1">
      <c r="A73" s="192"/>
      <c r="B73" s="71"/>
      <c r="C73" s="202"/>
      <c r="H73" s="67"/>
      <c r="J73" s="67"/>
      <c r="K73" s="189"/>
      <c r="L73" s="192"/>
    </row>
    <row r="74" spans="1:12" ht="15.6">
      <c r="A74" s="192"/>
      <c r="B74" s="675"/>
      <c r="C74" s="675"/>
      <c r="D74" s="675"/>
    </row>
    <row r="75" spans="1:12" ht="13.5" thickBot="1">
      <c r="A75" s="706" t="s">
        <v>433</v>
      </c>
      <c r="B75" s="706"/>
      <c r="C75" s="706"/>
      <c r="D75" s="706"/>
    </row>
    <row r="76" spans="1:12" ht="13.5" thickBot="1">
      <c r="A76" s="383" t="s">
        <v>427</v>
      </c>
      <c r="B76" s="384" t="s">
        <v>428</v>
      </c>
      <c r="C76" s="385" t="s">
        <v>429</v>
      </c>
      <c r="D76" s="385" t="s">
        <v>430</v>
      </c>
    </row>
    <row r="77" spans="1:12" ht="24.95">
      <c r="A77" s="386" t="s">
        <v>25</v>
      </c>
      <c r="B77" s="391" t="s">
        <v>180</v>
      </c>
      <c r="C77" s="388">
        <v>3</v>
      </c>
      <c r="D77" s="389" t="s">
        <v>434</v>
      </c>
    </row>
    <row r="78" spans="1:12" ht="12.6" customHeight="1">
      <c r="A78" s="175" t="s">
        <v>39</v>
      </c>
      <c r="B78" s="1" t="s">
        <v>184</v>
      </c>
      <c r="C78" s="75">
        <v>1</v>
      </c>
      <c r="D78" s="271" t="s">
        <v>182</v>
      </c>
    </row>
    <row r="79" spans="1:12" ht="37.5">
      <c r="A79" s="175" t="s">
        <v>49</v>
      </c>
      <c r="B79" s="1" t="s">
        <v>187</v>
      </c>
      <c r="C79" s="75">
        <v>3</v>
      </c>
      <c r="D79" s="271" t="s">
        <v>182</v>
      </c>
    </row>
    <row r="80" spans="1:12" ht="24.95">
      <c r="A80" s="175" t="s">
        <v>59</v>
      </c>
      <c r="B80" s="176" t="s">
        <v>190</v>
      </c>
      <c r="C80" s="75">
        <v>4</v>
      </c>
      <c r="D80" s="392" t="s">
        <v>183</v>
      </c>
    </row>
    <row r="81" spans="1:11" ht="24.95">
      <c r="A81" s="175" t="s">
        <v>193</v>
      </c>
      <c r="B81" s="207" t="s">
        <v>194</v>
      </c>
      <c r="C81" s="75">
        <v>4</v>
      </c>
      <c r="D81" s="270" t="s">
        <v>167</v>
      </c>
    </row>
    <row r="82" spans="1:11">
      <c r="A82" s="175" t="s">
        <v>78</v>
      </c>
      <c r="B82" s="1" t="s">
        <v>197</v>
      </c>
      <c r="C82" s="75">
        <v>3</v>
      </c>
      <c r="D82" s="270"/>
    </row>
    <row r="83" spans="1:11" ht="12.95" thickBot="1">
      <c r="A83" s="186" t="s">
        <v>92</v>
      </c>
      <c r="B83" s="177" t="s">
        <v>200</v>
      </c>
      <c r="C83" s="198">
        <v>3</v>
      </c>
      <c r="D83" s="272"/>
    </row>
    <row r="84" spans="1:11" ht="12.95">
      <c r="A84" s="192"/>
      <c r="B84" s="71" t="s">
        <v>431</v>
      </c>
      <c r="C84" s="199">
        <f>SUM(C77:C83)</f>
        <v>21</v>
      </c>
    </row>
    <row r="85" spans="1:11">
      <c r="A85" s="192"/>
    </row>
    <row r="86" spans="1:11">
      <c r="A86" s="192"/>
      <c r="H86" s="67"/>
      <c r="I86" s="189"/>
      <c r="J86" s="67"/>
    </row>
    <row r="87" spans="1:11" ht="15.6">
      <c r="A87" s="675" t="s">
        <v>201</v>
      </c>
      <c r="B87" s="675"/>
      <c r="C87" s="675"/>
      <c r="D87" s="675"/>
      <c r="H87" s="67"/>
      <c r="J87" s="67"/>
    </row>
    <row r="88" spans="1:11" ht="15.6">
      <c r="A88" s="192"/>
      <c r="B88" s="68"/>
      <c r="C88" s="193"/>
      <c r="D88" s="193"/>
      <c r="H88" s="67"/>
      <c r="J88" s="67"/>
    </row>
    <row r="89" spans="1:11" ht="13.5" thickBot="1">
      <c r="A89" s="706" t="s">
        <v>426</v>
      </c>
      <c r="B89" s="706"/>
      <c r="C89" s="706"/>
      <c r="D89" s="706"/>
      <c r="H89" s="67"/>
      <c r="J89" s="67"/>
      <c r="K89" s="189"/>
    </row>
    <row r="90" spans="1:11" ht="13.5" thickBot="1">
      <c r="A90" s="383" t="s">
        <v>427</v>
      </c>
      <c r="B90" s="384" t="s">
        <v>428</v>
      </c>
      <c r="C90" s="385" t="s">
        <v>429</v>
      </c>
      <c r="D90" s="385" t="s">
        <v>430</v>
      </c>
    </row>
    <row r="91" spans="1:11" ht="24.95">
      <c r="A91" s="386" t="s">
        <v>26</v>
      </c>
      <c r="B91" s="390" t="s">
        <v>202</v>
      </c>
      <c r="C91" s="388">
        <v>4</v>
      </c>
      <c r="D91" s="206" t="s">
        <v>180</v>
      </c>
    </row>
    <row r="92" spans="1:11" ht="37.5">
      <c r="A92" s="188" t="s">
        <v>40</v>
      </c>
      <c r="B92" s="74" t="s">
        <v>205</v>
      </c>
      <c r="C92" s="75">
        <v>3</v>
      </c>
      <c r="D92" s="271" t="s">
        <v>182</v>
      </c>
    </row>
    <row r="93" spans="1:11" ht="24.95">
      <c r="A93" s="188" t="s">
        <v>50</v>
      </c>
      <c r="B93" s="176" t="s">
        <v>208</v>
      </c>
      <c r="C93" s="75">
        <v>4</v>
      </c>
      <c r="D93" s="271" t="s">
        <v>190</v>
      </c>
    </row>
    <row r="94" spans="1:11" ht="50.1">
      <c r="A94" s="175" t="s">
        <v>60</v>
      </c>
      <c r="B94" s="74" t="s">
        <v>212</v>
      </c>
      <c r="C94" s="75">
        <v>2</v>
      </c>
      <c r="D94" s="271" t="s">
        <v>435</v>
      </c>
    </row>
    <row r="95" spans="1:11" ht="50.1">
      <c r="A95" s="175" t="s">
        <v>70</v>
      </c>
      <c r="B95" s="74" t="s">
        <v>215</v>
      </c>
      <c r="C95" s="75">
        <v>1</v>
      </c>
      <c r="D95" s="271" t="s">
        <v>436</v>
      </c>
    </row>
    <row r="96" spans="1:11">
      <c r="A96" s="175" t="s">
        <v>79</v>
      </c>
      <c r="B96" s="176" t="s">
        <v>218</v>
      </c>
      <c r="C96" s="75">
        <v>3</v>
      </c>
      <c r="D96" s="270"/>
    </row>
    <row r="97" spans="1:12" ht="12.95" thickBot="1">
      <c r="A97" s="186" t="s">
        <v>111</v>
      </c>
      <c r="B97" s="65" t="s">
        <v>222</v>
      </c>
      <c r="C97" s="198">
        <v>3</v>
      </c>
      <c r="D97" s="272"/>
    </row>
    <row r="98" spans="1:12" ht="12.95">
      <c r="A98" s="192"/>
      <c r="B98" s="71" t="s">
        <v>431</v>
      </c>
      <c r="C98" s="199">
        <f>SUM(C91:C97)</f>
        <v>20</v>
      </c>
    </row>
    <row r="99" spans="1:12" ht="12.95">
      <c r="A99" s="192"/>
      <c r="B99" s="72"/>
      <c r="C99" s="200"/>
    </row>
    <row r="100" spans="1:12" ht="13.5" thickBot="1">
      <c r="A100" s="706" t="s">
        <v>432</v>
      </c>
      <c r="B100" s="706"/>
      <c r="C100" s="706"/>
      <c r="D100" s="706"/>
      <c r="I100" s="67"/>
      <c r="K100" s="67"/>
    </row>
    <row r="101" spans="1:12" ht="13.5" thickBot="1">
      <c r="A101" s="383" t="s">
        <v>427</v>
      </c>
      <c r="B101" s="384" t="s">
        <v>428</v>
      </c>
      <c r="C101" s="385" t="s">
        <v>429</v>
      </c>
      <c r="D101" s="385" t="s">
        <v>430</v>
      </c>
      <c r="I101" s="67"/>
      <c r="K101" s="67"/>
    </row>
    <row r="102" spans="1:12">
      <c r="A102" s="386" t="s">
        <v>27</v>
      </c>
      <c r="B102" s="387" t="s">
        <v>203</v>
      </c>
      <c r="C102" s="388">
        <v>3</v>
      </c>
      <c r="D102" s="206" t="s">
        <v>437</v>
      </c>
      <c r="I102" s="67"/>
      <c r="K102" s="67"/>
    </row>
    <row r="103" spans="1:12" ht="24.95">
      <c r="A103" s="175" t="s">
        <v>41</v>
      </c>
      <c r="B103" s="76" t="s">
        <v>206</v>
      </c>
      <c r="C103" s="75">
        <v>4</v>
      </c>
      <c r="D103" s="270" t="s">
        <v>438</v>
      </c>
      <c r="I103" s="67"/>
      <c r="K103" s="67"/>
    </row>
    <row r="104" spans="1:12" ht="24.95">
      <c r="A104" s="188" t="s">
        <v>209</v>
      </c>
      <c r="B104" s="76" t="s">
        <v>210</v>
      </c>
      <c r="C104" s="75">
        <v>4</v>
      </c>
      <c r="D104" s="271" t="s">
        <v>190</v>
      </c>
      <c r="I104" s="67"/>
      <c r="K104" s="67"/>
      <c r="L104" s="190"/>
    </row>
    <row r="105" spans="1:12" ht="37.5">
      <c r="A105" s="175" t="s">
        <v>61</v>
      </c>
      <c r="B105" s="74" t="s">
        <v>213</v>
      </c>
      <c r="C105" s="75">
        <v>1</v>
      </c>
      <c r="D105" s="271" t="s">
        <v>439</v>
      </c>
    </row>
    <row r="106" spans="1:12">
      <c r="A106" s="175" t="s">
        <v>71</v>
      </c>
      <c r="B106" s="1" t="s">
        <v>216</v>
      </c>
      <c r="C106" s="75">
        <v>3</v>
      </c>
      <c r="D106" s="270"/>
    </row>
    <row r="107" spans="1:12">
      <c r="A107" s="175" t="s">
        <v>80</v>
      </c>
      <c r="B107" s="176" t="s">
        <v>219</v>
      </c>
      <c r="C107" s="75">
        <v>3</v>
      </c>
      <c r="D107" s="270"/>
    </row>
    <row r="108" spans="1:12" ht="12.95" thickBot="1">
      <c r="A108" s="186" t="s">
        <v>118</v>
      </c>
      <c r="B108" s="65" t="s">
        <v>224</v>
      </c>
      <c r="C108" s="198">
        <v>3</v>
      </c>
      <c r="D108" s="272" t="s">
        <v>222</v>
      </c>
    </row>
    <row r="109" spans="1:12" ht="12.95">
      <c r="A109" s="192"/>
      <c r="B109" s="71" t="s">
        <v>431</v>
      </c>
      <c r="C109" s="203">
        <f>SUM(C102:C108)</f>
        <v>21</v>
      </c>
    </row>
    <row r="110" spans="1:12" ht="13.5" customHeight="1">
      <c r="A110" s="192"/>
      <c r="B110" s="72"/>
    </row>
    <row r="111" spans="1:12" ht="13.5" customHeight="1" thickBot="1">
      <c r="A111" s="706" t="s">
        <v>433</v>
      </c>
      <c r="B111" s="706"/>
      <c r="C111" s="706"/>
      <c r="D111" s="706"/>
      <c r="I111" s="67"/>
      <c r="K111" s="67"/>
      <c r="L111" s="190"/>
    </row>
    <row r="112" spans="1:12" ht="13.5" thickBot="1">
      <c r="A112" s="383" t="s">
        <v>427</v>
      </c>
      <c r="B112" s="384" t="s">
        <v>428</v>
      </c>
      <c r="C112" s="385" t="s">
        <v>429</v>
      </c>
      <c r="D112" s="385" t="s">
        <v>430</v>
      </c>
      <c r="I112" s="67"/>
      <c r="K112" s="67"/>
      <c r="L112" s="191"/>
    </row>
    <row r="113" spans="1:11">
      <c r="A113" s="386" t="s">
        <v>28</v>
      </c>
      <c r="B113" s="387" t="s">
        <v>204</v>
      </c>
      <c r="C113" s="388">
        <v>1</v>
      </c>
      <c r="D113" s="389" t="s">
        <v>440</v>
      </c>
    </row>
    <row r="114" spans="1:11">
      <c r="A114" s="175" t="s">
        <v>42</v>
      </c>
      <c r="B114" s="1" t="s">
        <v>207</v>
      </c>
      <c r="C114" s="75">
        <v>2</v>
      </c>
      <c r="D114" s="270" t="s">
        <v>437</v>
      </c>
    </row>
    <row r="115" spans="1:11" ht="12.95">
      <c r="A115" s="175" t="s">
        <v>52</v>
      </c>
      <c r="B115" s="1" t="s">
        <v>211</v>
      </c>
      <c r="C115" s="75">
        <v>2</v>
      </c>
      <c r="D115" s="270" t="s">
        <v>213</v>
      </c>
      <c r="I115" s="67"/>
      <c r="J115" s="191"/>
      <c r="K115" s="69"/>
    </row>
    <row r="116" spans="1:11">
      <c r="A116" s="175" t="s">
        <v>62</v>
      </c>
      <c r="B116" s="1" t="s">
        <v>214</v>
      </c>
      <c r="C116" s="75">
        <v>3</v>
      </c>
      <c r="D116" s="270" t="s">
        <v>440</v>
      </c>
    </row>
    <row r="117" spans="1:11">
      <c r="A117" s="175" t="s">
        <v>72</v>
      </c>
      <c r="B117" s="74" t="s">
        <v>217</v>
      </c>
      <c r="C117" s="75">
        <v>3</v>
      </c>
      <c r="D117" s="271"/>
    </row>
    <row r="118" spans="1:11">
      <c r="A118" s="175" t="s">
        <v>81</v>
      </c>
      <c r="B118" s="1" t="s">
        <v>220</v>
      </c>
      <c r="C118" s="75">
        <v>3</v>
      </c>
      <c r="D118" s="270"/>
    </row>
    <row r="119" spans="1:11" ht="12.95" thickBot="1">
      <c r="A119" s="186" t="s">
        <v>125</v>
      </c>
      <c r="B119" s="65" t="s">
        <v>226</v>
      </c>
      <c r="C119" s="198">
        <v>3</v>
      </c>
      <c r="D119" s="272" t="s">
        <v>224</v>
      </c>
    </row>
    <row r="120" spans="1:11" ht="12.95">
      <c r="A120" s="192"/>
      <c r="B120" s="71" t="s">
        <v>431</v>
      </c>
      <c r="C120" s="199">
        <f>SUM(C113:C119)</f>
        <v>17</v>
      </c>
    </row>
    <row r="121" spans="1:11">
      <c r="A121" s="192"/>
    </row>
    <row r="122" spans="1:11">
      <c r="A122" s="192"/>
    </row>
    <row r="123" spans="1:11" ht="15.6">
      <c r="A123" s="675" t="s">
        <v>227</v>
      </c>
      <c r="B123" s="675"/>
      <c r="C123" s="675"/>
      <c r="D123" s="675"/>
    </row>
    <row r="124" spans="1:11" ht="15.6">
      <c r="A124" s="193"/>
      <c r="B124" s="68"/>
      <c r="C124" s="193"/>
      <c r="D124" s="193"/>
    </row>
    <row r="125" spans="1:11" ht="13.5" thickBot="1">
      <c r="A125" s="706" t="s">
        <v>426</v>
      </c>
      <c r="B125" s="706"/>
      <c r="C125" s="706"/>
      <c r="D125" s="706"/>
    </row>
    <row r="126" spans="1:11" ht="12.95">
      <c r="A126" s="194" t="s">
        <v>427</v>
      </c>
      <c r="B126" s="70" t="s">
        <v>428</v>
      </c>
      <c r="C126" s="197" t="s">
        <v>429</v>
      </c>
      <c r="D126" s="208" t="s">
        <v>430</v>
      </c>
    </row>
    <row r="127" spans="1:11" ht="12.95" thickBot="1">
      <c r="A127" s="195" t="s">
        <v>29</v>
      </c>
      <c r="B127" s="77" t="s">
        <v>441</v>
      </c>
      <c r="C127" s="204">
        <v>6</v>
      </c>
      <c r="D127" s="209" t="s">
        <v>360</v>
      </c>
    </row>
    <row r="128" spans="1:11" ht="12.95">
      <c r="A128" s="192"/>
      <c r="B128" s="71" t="s">
        <v>431</v>
      </c>
      <c r="C128" s="203">
        <f>SUM(C127)</f>
        <v>6</v>
      </c>
    </row>
    <row r="129" spans="1:4">
      <c r="A129" s="192"/>
      <c r="C129" s="192"/>
    </row>
    <row r="130" spans="1:4" ht="15.6">
      <c r="A130" s="192"/>
      <c r="B130" s="68"/>
      <c r="C130" s="193"/>
      <c r="D130" s="193"/>
    </row>
    <row r="131" spans="1:4" ht="13.5" thickBot="1">
      <c r="A131" s="706" t="s">
        <v>432</v>
      </c>
      <c r="B131" s="706"/>
      <c r="C131" s="706"/>
      <c r="D131" s="706"/>
    </row>
    <row r="132" spans="1:4" ht="12.95">
      <c r="A132" s="194" t="s">
        <v>427</v>
      </c>
      <c r="B132" s="70" t="s">
        <v>428</v>
      </c>
      <c r="C132" s="197" t="s">
        <v>429</v>
      </c>
      <c r="D132" s="208" t="s">
        <v>430</v>
      </c>
    </row>
    <row r="133" spans="1:4" ht="12.95" thickBot="1">
      <c r="A133" s="196" t="s">
        <v>30</v>
      </c>
      <c r="B133" s="78" t="s">
        <v>442</v>
      </c>
      <c r="C133" s="205">
        <v>6</v>
      </c>
      <c r="D133" s="210" t="s">
        <v>228</v>
      </c>
    </row>
    <row r="134" spans="1:4" ht="12.95">
      <c r="A134" s="192"/>
      <c r="B134" s="71" t="s">
        <v>431</v>
      </c>
      <c r="C134" s="203">
        <f>C133</f>
        <v>6</v>
      </c>
    </row>
    <row r="135" spans="1:4">
      <c r="A135" s="192"/>
    </row>
    <row r="136" spans="1:4" ht="13.5" thickBot="1">
      <c r="A136" s="706" t="s">
        <v>432</v>
      </c>
      <c r="B136" s="706"/>
      <c r="C136" s="706"/>
      <c r="D136" s="706"/>
    </row>
    <row r="137" spans="1:4" ht="12.95">
      <c r="A137" s="194" t="s">
        <v>427</v>
      </c>
      <c r="B137" s="70" t="s">
        <v>428</v>
      </c>
      <c r="C137" s="197" t="s">
        <v>429</v>
      </c>
      <c r="D137" s="208" t="s">
        <v>430</v>
      </c>
    </row>
    <row r="138" spans="1:4" ht="12.95" thickBot="1">
      <c r="A138" s="196" t="s">
        <v>230</v>
      </c>
      <c r="B138" s="78" t="s">
        <v>443</v>
      </c>
      <c r="C138" s="205">
        <v>6</v>
      </c>
      <c r="D138" s="210" t="s">
        <v>229</v>
      </c>
    </row>
    <row r="139" spans="1:4" ht="12.95">
      <c r="A139" s="192"/>
      <c r="B139" s="71" t="s">
        <v>431</v>
      </c>
      <c r="C139" s="203">
        <f>SUM(C133:C133)</f>
        <v>6</v>
      </c>
    </row>
    <row r="140" spans="1:4">
      <c r="A140" s="192"/>
    </row>
    <row r="141" spans="1:4" ht="12.95">
      <c r="B141" s="71" t="s">
        <v>107</v>
      </c>
      <c r="C141" s="199">
        <f>SUM(C134,C120,C109,C98,C84,C72,C60,C46,C36,C26,C128,C139)</f>
        <v>184</v>
      </c>
    </row>
    <row r="143" spans="1:4" ht="12.95" thickBot="1"/>
    <row r="144" spans="1:4">
      <c r="B144" s="79" t="s">
        <v>444</v>
      </c>
      <c r="C144" s="206"/>
    </row>
    <row r="145" spans="2:3">
      <c r="B145" s="10" t="s">
        <v>83</v>
      </c>
      <c r="C145" s="178">
        <f>C19+C30+C53+C40</f>
        <v>12</v>
      </c>
    </row>
    <row r="146" spans="2:3">
      <c r="B146" s="10" t="s">
        <v>445</v>
      </c>
      <c r="C146" s="178">
        <f>C20+C31</f>
        <v>8</v>
      </c>
    </row>
    <row r="147" spans="2:3">
      <c r="B147" s="10" t="s">
        <v>85</v>
      </c>
      <c r="C147" s="178">
        <v>8</v>
      </c>
    </row>
    <row r="148" spans="2:3">
      <c r="B148" s="10" t="s">
        <v>446</v>
      </c>
      <c r="C148" s="178">
        <f>C41+C54</f>
        <v>8</v>
      </c>
    </row>
    <row r="149" spans="2:3">
      <c r="B149" s="10" t="s">
        <v>447</v>
      </c>
      <c r="C149" s="178">
        <v>89</v>
      </c>
    </row>
    <row r="150" spans="2:3" ht="12.95" thickBot="1">
      <c r="B150" s="80" t="s">
        <v>97</v>
      </c>
      <c r="C150" s="179">
        <v>9</v>
      </c>
    </row>
    <row r="151" spans="2:3" ht="12.95" thickBot="1"/>
    <row r="152" spans="2:3">
      <c r="B152" s="79" t="s">
        <v>448</v>
      </c>
      <c r="C152" s="206"/>
    </row>
    <row r="153" spans="2:3">
      <c r="B153" s="10" t="s">
        <v>449</v>
      </c>
      <c r="C153" s="178">
        <f>C33+C23+C82+C67+C117+C83+C71+C69</f>
        <v>24</v>
      </c>
    </row>
    <row r="154" spans="2:3">
      <c r="B154" s="10" t="s">
        <v>450</v>
      </c>
      <c r="C154" s="178">
        <f>C118+C107+C96+C58</f>
        <v>12</v>
      </c>
    </row>
    <row r="155" spans="2:3">
      <c r="B155" s="10" t="s">
        <v>451</v>
      </c>
      <c r="C155" s="178">
        <f>SUM(C24,C34,C44,C59)</f>
        <v>8</v>
      </c>
    </row>
    <row r="156" spans="2:3">
      <c r="B156" s="10" t="s">
        <v>452</v>
      </c>
      <c r="C156" s="178">
        <f>C102+C25</f>
        <v>6</v>
      </c>
    </row>
    <row r="157" spans="2:3" ht="12.95">
      <c r="B157" s="81" t="s">
        <v>453</v>
      </c>
      <c r="C157" s="203">
        <f>SUM(C145:C156)</f>
        <v>184</v>
      </c>
    </row>
  </sheetData>
  <mergeCells count="22">
    <mergeCell ref="A125:D125"/>
    <mergeCell ref="A131:D131"/>
    <mergeCell ref="A136:D136"/>
    <mergeCell ref="A75:D75"/>
    <mergeCell ref="A87:D87"/>
    <mergeCell ref="A89:D89"/>
    <mergeCell ref="A100:D100"/>
    <mergeCell ref="A111:D111"/>
    <mergeCell ref="A123:D123"/>
    <mergeCell ref="A7:D7"/>
    <mergeCell ref="A8:D8"/>
    <mergeCell ref="A11:D11"/>
    <mergeCell ref="B74:D74"/>
    <mergeCell ref="A12:D12"/>
    <mergeCell ref="A13:D13"/>
    <mergeCell ref="A15:D15"/>
    <mergeCell ref="A17:D17"/>
    <mergeCell ref="A28:D28"/>
    <mergeCell ref="A38:D38"/>
    <mergeCell ref="A49:D49"/>
    <mergeCell ref="A51:D51"/>
    <mergeCell ref="A63:D63"/>
  </mergeCells>
  <pageMargins left="0.70866141732283472" right="0.39370078740157483" top="0.74803149606299213" bottom="0.74803149606299213" header="0.31496062992125984" footer="0.31496062992125984"/>
  <pageSetup paperSize="9" scale="78" orientation="portrait" r:id="rId1"/>
  <rowBreaks count="3" manualBreakCount="3">
    <brk id="47" max="3" man="1"/>
    <brk id="85" max="3" man="1"/>
    <brk id="121" max="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90C3C-F226-40F0-8AF5-1CCAE2BCB52C}">
  <dimension ref="A1:U103"/>
  <sheetViews>
    <sheetView topLeftCell="A94" workbookViewId="0">
      <selection activeCell="B100" sqref="A100:XFD103"/>
    </sheetView>
  </sheetViews>
  <sheetFormatPr defaultRowHeight="14.45"/>
  <cols>
    <col min="1" max="1" width="5.85546875" bestFit="1" customWidth="1"/>
    <col min="2" max="2" width="62.140625" customWidth="1"/>
    <col min="3" max="3" width="6" style="67" customWidth="1"/>
    <col min="4" max="16" width="5.85546875" style="305" customWidth="1"/>
    <col min="17" max="17" width="5.85546875" style="55" customWidth="1"/>
    <col min="18" max="18" width="7.140625" style="67" bestFit="1" customWidth="1"/>
    <col min="19" max="19" width="45.140625" bestFit="1" customWidth="1"/>
    <col min="20" max="20" width="40.42578125" bestFit="1" customWidth="1"/>
  </cols>
  <sheetData>
    <row r="1" spans="1:20" s="287" customFormat="1" ht="21">
      <c r="A1" s="678" t="s">
        <v>454</v>
      </c>
      <c r="B1" s="678"/>
      <c r="C1" s="678"/>
      <c r="D1" s="678"/>
      <c r="E1" s="678"/>
      <c r="F1" s="678"/>
      <c r="G1" s="678"/>
      <c r="H1" s="678"/>
      <c r="I1" s="678"/>
      <c r="J1" s="678"/>
      <c r="K1" s="678"/>
      <c r="L1" s="678"/>
      <c r="M1" s="678"/>
      <c r="N1" s="678"/>
      <c r="O1" s="678"/>
      <c r="P1" s="678"/>
      <c r="Q1" s="285"/>
      <c r="R1" s="679" t="s">
        <v>455</v>
      </c>
      <c r="S1" s="679"/>
      <c r="T1" s="286"/>
    </row>
    <row r="2" spans="1:20" s="292" customFormat="1" ht="15.6">
      <c r="A2" s="288" t="s">
        <v>456</v>
      </c>
      <c r="B2" s="288" t="s">
        <v>457</v>
      </c>
      <c r="C2" s="288" t="s">
        <v>429</v>
      </c>
      <c r="D2" s="289" t="s">
        <v>458</v>
      </c>
      <c r="E2" s="289" t="s">
        <v>459</v>
      </c>
      <c r="F2" s="289" t="s">
        <v>460</v>
      </c>
      <c r="G2" s="289" t="s">
        <v>461</v>
      </c>
      <c r="H2" s="289" t="s">
        <v>462</v>
      </c>
      <c r="I2" s="289" t="s">
        <v>463</v>
      </c>
      <c r="J2" s="289" t="s">
        <v>464</v>
      </c>
      <c r="K2" s="289" t="s">
        <v>465</v>
      </c>
      <c r="L2" s="289" t="s">
        <v>466</v>
      </c>
      <c r="M2" s="289" t="s">
        <v>467</v>
      </c>
      <c r="N2" s="289" t="s">
        <v>468</v>
      </c>
      <c r="O2" s="289" t="s">
        <v>469</v>
      </c>
      <c r="P2" s="289" t="s">
        <v>470</v>
      </c>
      <c r="Q2" s="290"/>
      <c r="R2" s="289" t="s">
        <v>456</v>
      </c>
      <c r="S2" s="291" t="s">
        <v>471</v>
      </c>
    </row>
    <row r="3" spans="1:20" ht="15.6">
      <c r="A3" s="1" t="s">
        <v>472</v>
      </c>
      <c r="B3" s="293" t="s">
        <v>154</v>
      </c>
      <c r="C3" s="3">
        <v>3</v>
      </c>
      <c r="D3" s="294" t="s">
        <v>473</v>
      </c>
      <c r="E3" s="294"/>
      <c r="F3" s="294"/>
      <c r="G3" s="295"/>
      <c r="H3" s="296" t="s">
        <v>473</v>
      </c>
      <c r="I3" s="295"/>
      <c r="J3" s="294"/>
      <c r="K3" s="295"/>
      <c r="L3" s="294"/>
      <c r="M3" s="294"/>
      <c r="N3" s="297"/>
      <c r="O3" s="297"/>
      <c r="P3" s="297"/>
      <c r="R3" s="288" t="s">
        <v>474</v>
      </c>
      <c r="S3" s="298" t="s">
        <v>475</v>
      </c>
    </row>
    <row r="4" spans="1:20" ht="15.6">
      <c r="A4" s="1" t="s">
        <v>476</v>
      </c>
      <c r="B4" s="293" t="s">
        <v>155</v>
      </c>
      <c r="C4" s="3">
        <v>3</v>
      </c>
      <c r="D4" s="294" t="s">
        <v>473</v>
      </c>
      <c r="E4" s="294"/>
      <c r="F4" s="294"/>
      <c r="G4" s="295"/>
      <c r="H4" s="296" t="s">
        <v>473</v>
      </c>
      <c r="I4" s="295"/>
      <c r="J4" s="294"/>
      <c r="K4" s="295"/>
      <c r="L4" s="294"/>
      <c r="M4" s="294"/>
      <c r="N4" s="297"/>
      <c r="O4" s="297"/>
      <c r="P4" s="297"/>
      <c r="R4" s="299" t="s">
        <v>477</v>
      </c>
      <c r="S4" s="299" t="s">
        <v>478</v>
      </c>
    </row>
    <row r="5" spans="1:20" ht="15.6">
      <c r="A5" s="1" t="s">
        <v>479</v>
      </c>
      <c r="B5" s="293" t="s">
        <v>156</v>
      </c>
      <c r="C5" s="3">
        <v>3</v>
      </c>
      <c r="D5" s="294" t="s">
        <v>473</v>
      </c>
      <c r="E5" s="294" t="s">
        <v>473</v>
      </c>
      <c r="F5" s="296" t="s">
        <v>473</v>
      </c>
      <c r="G5" s="295"/>
      <c r="H5" s="296" t="s">
        <v>473</v>
      </c>
      <c r="I5" s="296" t="s">
        <v>473</v>
      </c>
      <c r="J5" s="294"/>
      <c r="K5" s="295"/>
      <c r="L5" s="294"/>
      <c r="M5" s="294"/>
      <c r="N5" s="296" t="s">
        <v>473</v>
      </c>
      <c r="O5" s="297"/>
      <c r="P5" s="300"/>
      <c r="R5" s="301" t="s">
        <v>480</v>
      </c>
      <c r="S5" s="302" t="s">
        <v>481</v>
      </c>
    </row>
    <row r="6" spans="1:20" ht="15.6">
      <c r="A6" s="1" t="s">
        <v>482</v>
      </c>
      <c r="B6" s="293" t="s">
        <v>178</v>
      </c>
      <c r="C6" s="3">
        <v>3</v>
      </c>
      <c r="D6" s="294" t="s">
        <v>473</v>
      </c>
      <c r="E6" s="294"/>
      <c r="F6" s="294"/>
      <c r="G6" s="295"/>
      <c r="H6" s="296" t="s">
        <v>473</v>
      </c>
      <c r="I6" s="295"/>
      <c r="J6" s="294"/>
      <c r="K6" s="295"/>
      <c r="L6" s="294"/>
      <c r="M6" s="294"/>
      <c r="N6" s="297"/>
      <c r="O6" s="297"/>
      <c r="P6" s="297"/>
      <c r="R6" s="303" t="s">
        <v>483</v>
      </c>
      <c r="S6" s="304" t="s">
        <v>484</v>
      </c>
    </row>
    <row r="7" spans="1:20" ht="15.6">
      <c r="R7" s="306" t="s">
        <v>485</v>
      </c>
      <c r="S7" s="307" t="s">
        <v>486</v>
      </c>
    </row>
    <row r="8" spans="1:20" s="292" customFormat="1" ht="15.6">
      <c r="A8" s="299" t="s">
        <v>456</v>
      </c>
      <c r="B8" s="299" t="s">
        <v>487</v>
      </c>
      <c r="C8" s="299" t="s">
        <v>429</v>
      </c>
      <c r="D8" s="289" t="s">
        <v>458</v>
      </c>
      <c r="E8" s="289" t="s">
        <v>459</v>
      </c>
      <c r="F8" s="289" t="s">
        <v>460</v>
      </c>
      <c r="G8" s="289" t="s">
        <v>461</v>
      </c>
      <c r="H8" s="289" t="s">
        <v>462</v>
      </c>
      <c r="I8" s="289" t="s">
        <v>463</v>
      </c>
      <c r="J8" s="289" t="s">
        <v>464</v>
      </c>
      <c r="K8" s="289" t="s">
        <v>465</v>
      </c>
      <c r="L8" s="289" t="s">
        <v>466</v>
      </c>
      <c r="M8" s="289" t="s">
        <v>467</v>
      </c>
      <c r="N8" s="289" t="s">
        <v>468</v>
      </c>
      <c r="O8" s="289" t="s">
        <v>469</v>
      </c>
      <c r="P8" s="289" t="s">
        <v>470</v>
      </c>
      <c r="Q8" s="290"/>
      <c r="R8" s="308" t="s">
        <v>488</v>
      </c>
      <c r="S8" s="309" t="s">
        <v>489</v>
      </c>
    </row>
    <row r="9" spans="1:20" ht="15.75" customHeight="1">
      <c r="A9" s="1" t="s">
        <v>490</v>
      </c>
      <c r="B9" s="293" t="s">
        <v>491</v>
      </c>
      <c r="C9" s="3">
        <v>3</v>
      </c>
      <c r="D9" s="310" t="s">
        <v>473</v>
      </c>
      <c r="E9" s="310"/>
      <c r="F9" s="310"/>
      <c r="G9" s="296" t="s">
        <v>473</v>
      </c>
      <c r="H9" s="296" t="s">
        <v>473</v>
      </c>
      <c r="I9" s="310"/>
      <c r="J9" s="310"/>
      <c r="K9" s="310"/>
      <c r="L9" s="310"/>
      <c r="M9" s="310"/>
      <c r="N9" s="310"/>
      <c r="O9" s="310"/>
      <c r="P9" s="310"/>
      <c r="Q9" s="311"/>
      <c r="R9" s="289" t="s">
        <v>492</v>
      </c>
      <c r="S9" s="291" t="s">
        <v>493</v>
      </c>
    </row>
    <row r="10" spans="1:20" ht="15.75" customHeight="1">
      <c r="A10" s="1" t="s">
        <v>494</v>
      </c>
      <c r="B10" s="293" t="s">
        <v>255</v>
      </c>
      <c r="C10" s="3">
        <v>1</v>
      </c>
      <c r="D10" s="310" t="s">
        <v>473</v>
      </c>
      <c r="E10" s="310"/>
      <c r="F10" s="310"/>
      <c r="G10" s="296" t="s">
        <v>473</v>
      </c>
      <c r="H10" s="296" t="s">
        <v>473</v>
      </c>
      <c r="I10" s="328" t="s">
        <v>473</v>
      </c>
      <c r="J10" s="310"/>
      <c r="K10" s="310"/>
      <c r="L10" s="310"/>
      <c r="M10" s="310"/>
      <c r="N10" s="310"/>
      <c r="O10" s="310"/>
      <c r="P10" s="310"/>
      <c r="Q10" s="311"/>
      <c r="R10" s="312" t="s">
        <v>495</v>
      </c>
      <c r="S10" s="313" t="s">
        <v>496</v>
      </c>
    </row>
    <row r="11" spans="1:20" ht="15.75" customHeight="1">
      <c r="A11" s="1" t="s">
        <v>497</v>
      </c>
      <c r="B11" s="293" t="s">
        <v>498</v>
      </c>
      <c r="C11" s="3">
        <v>3</v>
      </c>
      <c r="D11" s="310" t="s">
        <v>473</v>
      </c>
      <c r="E11" s="310"/>
      <c r="F11" s="310"/>
      <c r="G11" s="296" t="s">
        <v>473</v>
      </c>
      <c r="H11" s="296" t="s">
        <v>473</v>
      </c>
      <c r="I11" s="310"/>
      <c r="J11" s="310"/>
      <c r="K11" s="310"/>
      <c r="L11" s="310"/>
      <c r="M11" s="310"/>
      <c r="N11" s="310"/>
      <c r="O11" s="310"/>
      <c r="P11" s="310"/>
      <c r="Q11" s="311"/>
      <c r="R11" s="308" t="s">
        <v>499</v>
      </c>
      <c r="S11" s="314" t="s">
        <v>500</v>
      </c>
    </row>
    <row r="12" spans="1:20" ht="15.75" customHeight="1">
      <c r="A12" s="1" t="s">
        <v>501</v>
      </c>
      <c r="B12" s="293" t="s">
        <v>502</v>
      </c>
      <c r="C12" s="3">
        <v>1</v>
      </c>
      <c r="D12" s="310" t="s">
        <v>473</v>
      </c>
      <c r="E12" s="310"/>
      <c r="F12" s="310"/>
      <c r="G12" s="296" t="s">
        <v>473</v>
      </c>
      <c r="H12" s="296" t="s">
        <v>473</v>
      </c>
      <c r="I12" s="328" t="s">
        <v>473</v>
      </c>
      <c r="J12" s="310"/>
      <c r="K12" s="310"/>
      <c r="L12" s="310"/>
      <c r="M12" s="310"/>
      <c r="N12" s="310"/>
      <c r="O12" s="310"/>
      <c r="P12" s="310"/>
      <c r="Q12" s="311"/>
    </row>
    <row r="13" spans="1:20" ht="15.75" customHeight="1">
      <c r="A13" s="1"/>
      <c r="B13" s="1"/>
      <c r="C13" s="3"/>
      <c r="D13" s="310"/>
      <c r="E13" s="310"/>
      <c r="F13" s="310"/>
      <c r="G13" s="310"/>
      <c r="H13" s="310"/>
      <c r="I13" s="310"/>
      <c r="J13" s="310"/>
      <c r="K13" s="310"/>
      <c r="L13" s="310"/>
      <c r="M13" s="310"/>
      <c r="N13" s="310"/>
      <c r="O13" s="310"/>
      <c r="P13" s="310"/>
      <c r="Q13" s="311"/>
      <c r="R13" s="289" t="s">
        <v>456</v>
      </c>
      <c r="S13" s="289" t="s">
        <v>503</v>
      </c>
    </row>
    <row r="14" spans="1:20" ht="15.75" customHeight="1">
      <c r="A14" s="1"/>
      <c r="B14" s="1"/>
      <c r="C14" s="3"/>
      <c r="D14" s="315"/>
      <c r="E14" s="315"/>
      <c r="F14" s="315"/>
      <c r="G14" s="315"/>
      <c r="H14" s="315"/>
      <c r="I14" s="315"/>
      <c r="J14" s="315"/>
      <c r="K14" s="315"/>
      <c r="L14" s="315"/>
      <c r="M14" s="315"/>
      <c r="N14" s="315"/>
      <c r="O14" s="315"/>
      <c r="P14" s="315"/>
      <c r="Q14" s="311"/>
      <c r="R14" s="316" t="s">
        <v>473</v>
      </c>
      <c r="S14" s="317" t="s">
        <v>504</v>
      </c>
    </row>
    <row r="15" spans="1:20" ht="15.6">
      <c r="A15" s="1"/>
      <c r="R15" s="316" t="s">
        <v>505</v>
      </c>
      <c r="S15" s="317" t="s">
        <v>506</v>
      </c>
    </row>
    <row r="16" spans="1:20" s="292" customFormat="1" ht="15.6">
      <c r="A16" s="304" t="s">
        <v>456</v>
      </c>
      <c r="B16" s="304" t="s">
        <v>507</v>
      </c>
      <c r="C16" s="318" t="s">
        <v>429</v>
      </c>
      <c r="D16" s="319" t="s">
        <v>458</v>
      </c>
      <c r="E16" s="319" t="s">
        <v>459</v>
      </c>
      <c r="F16" s="319" t="s">
        <v>460</v>
      </c>
      <c r="G16" s="319" t="s">
        <v>461</v>
      </c>
      <c r="H16" s="319" t="s">
        <v>462</v>
      </c>
      <c r="I16" s="319" t="s">
        <v>463</v>
      </c>
      <c r="J16" s="319" t="s">
        <v>464</v>
      </c>
      <c r="K16" s="319" t="s">
        <v>465</v>
      </c>
      <c r="L16" s="319" t="s">
        <v>466</v>
      </c>
      <c r="M16" s="319" t="s">
        <v>467</v>
      </c>
      <c r="N16" s="319" t="s">
        <v>468</v>
      </c>
      <c r="O16" s="289" t="s">
        <v>469</v>
      </c>
      <c r="P16" s="289" t="s">
        <v>470</v>
      </c>
      <c r="Q16" s="290"/>
      <c r="R16" s="316" t="s">
        <v>508</v>
      </c>
      <c r="S16" s="317" t="s">
        <v>509</v>
      </c>
    </row>
    <row r="17" spans="1:20" ht="15.75" customHeight="1">
      <c r="A17" s="293" t="s">
        <v>510</v>
      </c>
      <c r="B17" s="293" t="s">
        <v>511</v>
      </c>
      <c r="C17" s="3">
        <v>1</v>
      </c>
      <c r="D17" s="294" t="s">
        <v>473</v>
      </c>
      <c r="E17" s="294"/>
      <c r="F17" s="329" t="s">
        <v>473</v>
      </c>
      <c r="G17" s="295"/>
      <c r="H17" s="294"/>
      <c r="I17" s="295" t="s">
        <v>473</v>
      </c>
      <c r="J17" s="294"/>
      <c r="K17" s="295"/>
      <c r="L17" s="295"/>
      <c r="M17" s="294"/>
      <c r="N17" s="295" t="s">
        <v>473</v>
      </c>
      <c r="O17" s="295"/>
      <c r="P17" s="295"/>
      <c r="R17" s="289" t="s">
        <v>456</v>
      </c>
      <c r="S17" s="291" t="s">
        <v>512</v>
      </c>
    </row>
    <row r="18" spans="1:20" ht="15.75" customHeight="1">
      <c r="A18" s="293" t="s">
        <v>513</v>
      </c>
      <c r="B18" s="293" t="s">
        <v>163</v>
      </c>
      <c r="C18" s="3">
        <v>3</v>
      </c>
      <c r="D18" s="328" t="s">
        <v>505</v>
      </c>
      <c r="E18" s="294"/>
      <c r="F18" s="294"/>
      <c r="G18" s="295"/>
      <c r="H18" s="329" t="s">
        <v>505</v>
      </c>
      <c r="I18" s="295"/>
      <c r="J18" s="294"/>
      <c r="K18" s="295"/>
      <c r="L18" s="294"/>
      <c r="M18" s="294"/>
      <c r="N18" s="295"/>
      <c r="O18" s="295" t="s">
        <v>473</v>
      </c>
      <c r="P18" s="295"/>
      <c r="R18" s="316" t="s">
        <v>473</v>
      </c>
      <c r="S18" s="320" t="s">
        <v>514</v>
      </c>
    </row>
    <row r="19" spans="1:20" ht="15.75" customHeight="1">
      <c r="A19" s="293" t="s">
        <v>515</v>
      </c>
      <c r="B19" s="293" t="s">
        <v>267</v>
      </c>
      <c r="C19" s="3">
        <v>3</v>
      </c>
      <c r="D19" s="294"/>
      <c r="E19" s="329" t="s">
        <v>505</v>
      </c>
      <c r="F19" s="294"/>
      <c r="G19" s="327" t="s">
        <v>505</v>
      </c>
      <c r="H19" s="329" t="s">
        <v>505</v>
      </c>
      <c r="I19" s="327" t="s">
        <v>505</v>
      </c>
      <c r="J19" s="294"/>
      <c r="K19" s="295" t="s">
        <v>473</v>
      </c>
      <c r="L19" s="295"/>
      <c r="M19" s="294"/>
      <c r="N19" s="295" t="s">
        <v>505</v>
      </c>
      <c r="O19" s="327" t="s">
        <v>505</v>
      </c>
      <c r="P19" s="295" t="s">
        <v>473</v>
      </c>
      <c r="R19" s="316" t="s">
        <v>505</v>
      </c>
      <c r="S19" s="320" t="s">
        <v>516</v>
      </c>
    </row>
    <row r="20" spans="1:20" ht="15.6">
      <c r="A20" s="1"/>
      <c r="R20" s="316" t="s">
        <v>508</v>
      </c>
      <c r="S20" s="320" t="s">
        <v>517</v>
      </c>
    </row>
    <row r="21" spans="1:20" s="292" customFormat="1" ht="15.6">
      <c r="A21" s="307" t="s">
        <v>456</v>
      </c>
      <c r="B21" s="307" t="s">
        <v>518</v>
      </c>
      <c r="C21" s="321" t="s">
        <v>429</v>
      </c>
      <c r="D21" s="319" t="s">
        <v>458</v>
      </c>
      <c r="E21" s="319" t="s">
        <v>459</v>
      </c>
      <c r="F21" s="319" t="s">
        <v>460</v>
      </c>
      <c r="G21" s="319" t="s">
        <v>461</v>
      </c>
      <c r="H21" s="319" t="s">
        <v>462</v>
      </c>
      <c r="I21" s="319" t="s">
        <v>463</v>
      </c>
      <c r="J21" s="319" t="s">
        <v>464</v>
      </c>
      <c r="K21" s="319" t="s">
        <v>465</v>
      </c>
      <c r="L21" s="319" t="s">
        <v>466</v>
      </c>
      <c r="M21" s="319" t="s">
        <v>467</v>
      </c>
      <c r="N21" s="319" t="s">
        <v>468</v>
      </c>
      <c r="O21" s="289" t="s">
        <v>469</v>
      </c>
      <c r="P21" s="289" t="s">
        <v>470</v>
      </c>
      <c r="Q21" s="290"/>
    </row>
    <row r="22" spans="1:20" ht="15.6">
      <c r="A22" s="1" t="s">
        <v>519</v>
      </c>
      <c r="B22" s="293" t="s">
        <v>520</v>
      </c>
      <c r="C22" s="42">
        <v>3</v>
      </c>
      <c r="D22" s="294" t="s">
        <v>473</v>
      </c>
      <c r="E22" s="294" t="s">
        <v>473</v>
      </c>
      <c r="F22" s="294" t="s">
        <v>473</v>
      </c>
      <c r="G22" s="295"/>
      <c r="H22" s="294"/>
      <c r="I22" s="295"/>
      <c r="J22" s="294"/>
      <c r="K22" s="295"/>
      <c r="L22" s="294"/>
      <c r="M22" s="294"/>
      <c r="N22" s="295"/>
      <c r="O22" s="295"/>
      <c r="P22" s="295"/>
    </row>
    <row r="23" spans="1:20" ht="15.6">
      <c r="A23" s="1" t="s">
        <v>521</v>
      </c>
      <c r="B23" s="293" t="s">
        <v>522</v>
      </c>
      <c r="C23" s="42">
        <v>1</v>
      </c>
      <c r="D23" s="294" t="s">
        <v>473</v>
      </c>
      <c r="E23" s="294" t="s">
        <v>473</v>
      </c>
      <c r="F23" s="294" t="s">
        <v>473</v>
      </c>
      <c r="G23" s="295" t="s">
        <v>473</v>
      </c>
      <c r="H23" s="294"/>
      <c r="I23" s="295" t="s">
        <v>473</v>
      </c>
      <c r="J23" s="294"/>
      <c r="K23" s="295"/>
      <c r="L23" s="294"/>
      <c r="M23" s="294"/>
      <c r="N23" s="295"/>
      <c r="O23" s="295"/>
      <c r="P23" s="295"/>
    </row>
    <row r="24" spans="1:20" ht="15.6">
      <c r="A24" s="1" t="s">
        <v>523</v>
      </c>
      <c r="B24" s="293" t="s">
        <v>524</v>
      </c>
      <c r="C24" s="42">
        <v>3</v>
      </c>
      <c r="D24" s="294" t="s">
        <v>473</v>
      </c>
      <c r="E24" s="294" t="s">
        <v>473</v>
      </c>
      <c r="F24" s="294" t="s">
        <v>473</v>
      </c>
      <c r="G24" s="295"/>
      <c r="H24" s="294"/>
      <c r="I24" s="295"/>
      <c r="J24" s="294"/>
      <c r="K24" s="295"/>
      <c r="L24" s="294"/>
      <c r="M24" s="294"/>
      <c r="N24" s="295"/>
      <c r="O24" s="295"/>
      <c r="P24" s="295"/>
    </row>
    <row r="25" spans="1:20" ht="15.6">
      <c r="A25" s="1" t="s">
        <v>525</v>
      </c>
      <c r="B25" s="293" t="s">
        <v>285</v>
      </c>
      <c r="C25" s="322">
        <v>1</v>
      </c>
      <c r="D25" s="294" t="s">
        <v>473</v>
      </c>
      <c r="E25" s="294" t="s">
        <v>473</v>
      </c>
      <c r="F25" s="294" t="s">
        <v>473</v>
      </c>
      <c r="G25" s="294" t="s">
        <v>473</v>
      </c>
      <c r="H25" s="294"/>
      <c r="I25" s="295" t="s">
        <v>473</v>
      </c>
      <c r="J25" s="294" t="s">
        <v>473</v>
      </c>
      <c r="K25" s="295"/>
      <c r="L25" s="295"/>
      <c r="M25" s="294"/>
      <c r="N25" s="295"/>
      <c r="O25" s="295"/>
      <c r="P25" s="295"/>
    </row>
    <row r="26" spans="1:20" ht="15.6">
      <c r="T26" s="292"/>
    </row>
    <row r="27" spans="1:20" ht="15.6">
      <c r="T27" s="292"/>
    </row>
    <row r="28" spans="1:20" s="292" customFormat="1" ht="15.6">
      <c r="A28" s="308" t="s">
        <v>456</v>
      </c>
      <c r="B28" s="309" t="s">
        <v>526</v>
      </c>
      <c r="C28" s="323" t="s">
        <v>429</v>
      </c>
      <c r="D28" s="319" t="s">
        <v>458</v>
      </c>
      <c r="E28" s="319" t="s">
        <v>459</v>
      </c>
      <c r="F28" s="319" t="s">
        <v>460</v>
      </c>
      <c r="G28" s="319" t="s">
        <v>461</v>
      </c>
      <c r="H28" s="319" t="s">
        <v>462</v>
      </c>
      <c r="I28" s="319" t="s">
        <v>463</v>
      </c>
      <c r="J28" s="319" t="s">
        <v>464</v>
      </c>
      <c r="K28" s="319" t="s">
        <v>465</v>
      </c>
      <c r="L28" s="319" t="s">
        <v>466</v>
      </c>
      <c r="M28" s="319" t="s">
        <v>467</v>
      </c>
      <c r="N28" s="319" t="s">
        <v>468</v>
      </c>
      <c r="O28" s="289" t="s">
        <v>469</v>
      </c>
      <c r="P28" s="289" t="s">
        <v>470</v>
      </c>
      <c r="Q28" s="290"/>
      <c r="R28" s="324"/>
    </row>
    <row r="29" spans="1:20" ht="15.6">
      <c r="A29" s="1" t="s">
        <v>527</v>
      </c>
      <c r="B29" s="379" t="s">
        <v>174</v>
      </c>
      <c r="C29" s="3">
        <v>3</v>
      </c>
      <c r="D29" s="297" t="s">
        <v>473</v>
      </c>
      <c r="E29" s="381"/>
      <c r="F29" s="381"/>
      <c r="G29" s="297"/>
      <c r="H29" s="381"/>
      <c r="I29" s="297"/>
      <c r="J29" s="381"/>
      <c r="K29" s="297"/>
      <c r="L29" s="381"/>
      <c r="M29" s="381"/>
      <c r="N29" s="297" t="s">
        <v>473</v>
      </c>
      <c r="O29" s="297"/>
      <c r="P29" s="297"/>
      <c r="Q29"/>
      <c r="T29" s="292"/>
    </row>
    <row r="30" spans="1:20" ht="15.6">
      <c r="A30" s="1" t="s">
        <v>528</v>
      </c>
      <c r="B30" s="293" t="s">
        <v>179</v>
      </c>
      <c r="C30" s="3">
        <v>3</v>
      </c>
      <c r="D30" s="381" t="s">
        <v>505</v>
      </c>
      <c r="E30" s="381"/>
      <c r="F30" s="381"/>
      <c r="G30" s="297"/>
      <c r="H30" s="381" t="s">
        <v>505</v>
      </c>
      <c r="I30" s="297"/>
      <c r="J30" s="381"/>
      <c r="K30" s="297"/>
      <c r="L30" s="381"/>
      <c r="M30" s="381"/>
      <c r="N30" s="297"/>
      <c r="O30" s="297"/>
      <c r="P30" s="297"/>
      <c r="Q30"/>
      <c r="T30" s="292"/>
    </row>
    <row r="31" spans="1:20" ht="15.6">
      <c r="A31" s="1" t="s">
        <v>529</v>
      </c>
      <c r="B31" s="293" t="s">
        <v>161</v>
      </c>
      <c r="C31" s="3">
        <v>1</v>
      </c>
      <c r="D31" s="381"/>
      <c r="E31" s="381"/>
      <c r="F31" s="381"/>
      <c r="G31" s="297" t="s">
        <v>473</v>
      </c>
      <c r="H31" s="381"/>
      <c r="I31" s="297"/>
      <c r="J31" s="381" t="s">
        <v>473</v>
      </c>
      <c r="K31" s="297"/>
      <c r="L31" s="297" t="s">
        <v>473</v>
      </c>
      <c r="M31" s="381" t="s">
        <v>473</v>
      </c>
      <c r="N31" s="297"/>
      <c r="O31" s="297"/>
      <c r="P31" s="297"/>
      <c r="Q31"/>
      <c r="T31" s="292"/>
    </row>
    <row r="32" spans="1:20" ht="15.6">
      <c r="A32" s="1" t="s">
        <v>530</v>
      </c>
      <c r="B32" s="293" t="s">
        <v>187</v>
      </c>
      <c r="C32" s="3">
        <v>3</v>
      </c>
      <c r="D32" s="381" t="s">
        <v>505</v>
      </c>
      <c r="E32" s="381"/>
      <c r="F32" s="381" t="s">
        <v>505</v>
      </c>
      <c r="G32" s="297" t="s">
        <v>505</v>
      </c>
      <c r="H32" s="381" t="s">
        <v>505</v>
      </c>
      <c r="I32" s="297"/>
      <c r="J32" s="381" t="s">
        <v>505</v>
      </c>
      <c r="K32" s="297"/>
      <c r="L32" s="381"/>
      <c r="M32" s="381"/>
      <c r="N32" s="297"/>
      <c r="O32" s="297"/>
      <c r="P32" s="297"/>
      <c r="Q32"/>
      <c r="T32" s="292"/>
    </row>
    <row r="33" spans="1:20" ht="15.6">
      <c r="A33" s="1" t="s">
        <v>531</v>
      </c>
      <c r="B33" s="293" t="s">
        <v>184</v>
      </c>
      <c r="C33" s="3">
        <v>1</v>
      </c>
      <c r="D33" s="381" t="s">
        <v>505</v>
      </c>
      <c r="E33" s="381"/>
      <c r="F33" s="381" t="s">
        <v>473</v>
      </c>
      <c r="G33" s="297"/>
      <c r="H33" s="381"/>
      <c r="I33" s="297" t="s">
        <v>505</v>
      </c>
      <c r="J33" s="381"/>
      <c r="K33" s="297"/>
      <c r="L33" s="381"/>
      <c r="M33" s="381"/>
      <c r="N33" s="297" t="s">
        <v>505</v>
      </c>
      <c r="O33" s="297"/>
      <c r="P33" s="297" t="s">
        <v>473</v>
      </c>
      <c r="Q33"/>
      <c r="T33" s="292"/>
    </row>
    <row r="34" spans="1:20" ht="15.6">
      <c r="A34" s="1" t="s">
        <v>532</v>
      </c>
      <c r="B34" s="379" t="s">
        <v>165</v>
      </c>
      <c r="C34" s="3">
        <v>2</v>
      </c>
      <c r="D34" s="297" t="s">
        <v>473</v>
      </c>
      <c r="E34" s="297" t="s">
        <v>473</v>
      </c>
      <c r="F34" s="297" t="s">
        <v>473</v>
      </c>
      <c r="G34" s="297"/>
      <c r="H34" s="381"/>
      <c r="I34" s="297"/>
      <c r="J34" s="381"/>
      <c r="K34" s="297"/>
      <c r="L34" s="381"/>
      <c r="M34" s="381"/>
      <c r="N34" s="297" t="s">
        <v>473</v>
      </c>
      <c r="O34" s="297"/>
      <c r="P34" s="297" t="s">
        <v>473</v>
      </c>
      <c r="Q34"/>
      <c r="T34" s="292"/>
    </row>
    <row r="35" spans="1:20" ht="15.6">
      <c r="A35" s="1" t="s">
        <v>533</v>
      </c>
      <c r="B35" s="379" t="s">
        <v>167</v>
      </c>
      <c r="C35" s="3">
        <v>2</v>
      </c>
      <c r="D35" s="297" t="s">
        <v>505</v>
      </c>
      <c r="E35" s="297" t="s">
        <v>505</v>
      </c>
      <c r="F35" s="297" t="s">
        <v>473</v>
      </c>
      <c r="G35" s="297"/>
      <c r="H35" s="381"/>
      <c r="I35" s="297"/>
      <c r="J35" s="381"/>
      <c r="K35" s="297"/>
      <c r="L35" s="381"/>
      <c r="M35" s="381"/>
      <c r="N35" s="297" t="s">
        <v>505</v>
      </c>
      <c r="O35" s="297"/>
      <c r="P35" s="297" t="s">
        <v>473</v>
      </c>
      <c r="Q35"/>
      <c r="T35" s="292"/>
    </row>
    <row r="36" spans="1:20" ht="15.6">
      <c r="A36" s="1" t="s">
        <v>534</v>
      </c>
      <c r="B36" s="379" t="s">
        <v>162</v>
      </c>
      <c r="C36" s="3">
        <v>2</v>
      </c>
      <c r="D36" s="297" t="s">
        <v>473</v>
      </c>
      <c r="E36" s="297" t="s">
        <v>473</v>
      </c>
      <c r="F36" s="297" t="s">
        <v>473</v>
      </c>
      <c r="G36" s="297"/>
      <c r="H36" s="381"/>
      <c r="I36" s="297"/>
      <c r="J36" s="381"/>
      <c r="K36" s="297"/>
      <c r="L36" s="381"/>
      <c r="M36" s="381"/>
      <c r="N36" s="297" t="s">
        <v>473</v>
      </c>
      <c r="O36" s="297"/>
      <c r="P36" s="297" t="s">
        <v>473</v>
      </c>
      <c r="Q36"/>
      <c r="T36" s="292"/>
    </row>
    <row r="37" spans="1:20" ht="15.6">
      <c r="A37" s="1" t="s">
        <v>535</v>
      </c>
      <c r="B37" s="379" t="s">
        <v>536</v>
      </c>
      <c r="C37" s="3">
        <v>3</v>
      </c>
      <c r="D37" s="297" t="s">
        <v>508</v>
      </c>
      <c r="E37" s="297" t="s">
        <v>508</v>
      </c>
      <c r="F37" s="297" t="s">
        <v>508</v>
      </c>
      <c r="G37" s="297" t="s">
        <v>508</v>
      </c>
      <c r="H37" s="297" t="s">
        <v>505</v>
      </c>
      <c r="I37" s="297" t="s">
        <v>505</v>
      </c>
      <c r="J37" s="297" t="s">
        <v>505</v>
      </c>
      <c r="K37" s="297" t="s">
        <v>505</v>
      </c>
      <c r="L37" s="297" t="s">
        <v>505</v>
      </c>
      <c r="M37" s="297" t="s">
        <v>505</v>
      </c>
      <c r="N37" s="297" t="s">
        <v>508</v>
      </c>
      <c r="O37" s="297" t="s">
        <v>505</v>
      </c>
      <c r="P37" s="297" t="s">
        <v>508</v>
      </c>
      <c r="Q37"/>
      <c r="T37" s="292"/>
    </row>
    <row r="38" spans="1:20" ht="15.6">
      <c r="A38" s="1" t="s">
        <v>537</v>
      </c>
      <c r="B38" s="379" t="s">
        <v>302</v>
      </c>
      <c r="C38" s="3">
        <v>1</v>
      </c>
      <c r="D38" s="297" t="s">
        <v>508</v>
      </c>
      <c r="E38" s="297" t="s">
        <v>508</v>
      </c>
      <c r="F38" s="297" t="s">
        <v>508</v>
      </c>
      <c r="G38" s="297" t="s">
        <v>508</v>
      </c>
      <c r="H38" s="297" t="s">
        <v>505</v>
      </c>
      <c r="I38" s="297" t="s">
        <v>505</v>
      </c>
      <c r="J38" s="297" t="s">
        <v>505</v>
      </c>
      <c r="K38" s="297" t="s">
        <v>505</v>
      </c>
      <c r="L38" s="297" t="s">
        <v>505</v>
      </c>
      <c r="M38" s="297" t="s">
        <v>505</v>
      </c>
      <c r="N38" s="297" t="s">
        <v>508</v>
      </c>
      <c r="O38" s="297" t="s">
        <v>505</v>
      </c>
      <c r="P38" s="297" t="s">
        <v>508</v>
      </c>
      <c r="Q38"/>
    </row>
    <row r="39" spans="1:20" ht="15.6">
      <c r="A39" s="1" t="s">
        <v>538</v>
      </c>
      <c r="B39" s="293" t="s">
        <v>539</v>
      </c>
      <c r="C39" s="3">
        <v>3</v>
      </c>
      <c r="D39" s="297" t="s">
        <v>505</v>
      </c>
      <c r="E39" s="297" t="s">
        <v>505</v>
      </c>
      <c r="F39" s="381" t="s">
        <v>505</v>
      </c>
      <c r="G39" s="297"/>
      <c r="H39" s="297" t="s">
        <v>505</v>
      </c>
      <c r="I39" s="297"/>
      <c r="J39" s="381" t="s">
        <v>505</v>
      </c>
      <c r="K39" s="297"/>
      <c r="L39" s="381"/>
      <c r="M39" s="381"/>
      <c r="N39" s="297" t="s">
        <v>505</v>
      </c>
      <c r="O39" s="297"/>
      <c r="P39" s="297" t="s">
        <v>473</v>
      </c>
      <c r="Q39"/>
    </row>
    <row r="40" spans="1:20" ht="15.6">
      <c r="A40" s="1" t="s">
        <v>540</v>
      </c>
      <c r="B40" s="293" t="s">
        <v>308</v>
      </c>
      <c r="C40" s="3">
        <v>1</v>
      </c>
      <c r="D40" s="297" t="s">
        <v>505</v>
      </c>
      <c r="E40" s="297" t="s">
        <v>505</v>
      </c>
      <c r="F40" s="381" t="s">
        <v>505</v>
      </c>
      <c r="G40" s="297"/>
      <c r="H40" s="297" t="s">
        <v>505</v>
      </c>
      <c r="I40" s="297" t="s">
        <v>473</v>
      </c>
      <c r="J40" s="381" t="s">
        <v>505</v>
      </c>
      <c r="K40" s="297"/>
      <c r="L40" s="381"/>
      <c r="M40" s="381"/>
      <c r="N40" s="297" t="s">
        <v>505</v>
      </c>
      <c r="O40" s="297"/>
      <c r="P40" s="297" t="s">
        <v>473</v>
      </c>
      <c r="Q40"/>
    </row>
    <row r="41" spans="1:20" ht="15.6">
      <c r="A41" s="1" t="s">
        <v>541</v>
      </c>
      <c r="B41" s="293" t="s">
        <v>542</v>
      </c>
      <c r="C41" s="3">
        <v>3</v>
      </c>
      <c r="D41" s="297" t="s">
        <v>505</v>
      </c>
      <c r="E41" s="381" t="s">
        <v>505</v>
      </c>
      <c r="F41" s="381" t="s">
        <v>473</v>
      </c>
      <c r="G41" s="297"/>
      <c r="H41" s="381"/>
      <c r="I41" s="297"/>
      <c r="J41" s="381" t="s">
        <v>505</v>
      </c>
      <c r="K41" s="297"/>
      <c r="L41" s="381"/>
      <c r="M41" s="381"/>
      <c r="N41" s="297"/>
      <c r="O41" s="297"/>
      <c r="P41" s="297"/>
      <c r="Q41"/>
    </row>
    <row r="42" spans="1:20" ht="15.6">
      <c r="A42" s="1" t="s">
        <v>543</v>
      </c>
      <c r="B42" s="293" t="s">
        <v>314</v>
      </c>
      <c r="C42" s="3">
        <v>1</v>
      </c>
      <c r="D42" s="297" t="s">
        <v>505</v>
      </c>
      <c r="E42" s="382" t="s">
        <v>505</v>
      </c>
      <c r="F42" s="382" t="s">
        <v>473</v>
      </c>
      <c r="G42" s="301"/>
      <c r="H42" s="382"/>
      <c r="I42" s="301" t="s">
        <v>473</v>
      </c>
      <c r="J42" s="382" t="s">
        <v>505</v>
      </c>
      <c r="K42" s="301"/>
      <c r="L42" s="382"/>
      <c r="M42" s="382"/>
      <c r="N42" s="297"/>
      <c r="O42" s="297"/>
      <c r="P42" s="297"/>
      <c r="Q42"/>
    </row>
    <row r="43" spans="1:20" ht="15.6">
      <c r="A43" s="1" t="s">
        <v>544</v>
      </c>
      <c r="B43" s="293" t="s">
        <v>316</v>
      </c>
      <c r="C43" s="3">
        <v>2</v>
      </c>
      <c r="D43" s="297" t="s">
        <v>505</v>
      </c>
      <c r="E43" s="382" t="s">
        <v>505</v>
      </c>
      <c r="F43" s="382" t="s">
        <v>505</v>
      </c>
      <c r="G43" s="301" t="s">
        <v>508</v>
      </c>
      <c r="H43" s="382" t="s">
        <v>505</v>
      </c>
      <c r="I43" s="301" t="s">
        <v>505</v>
      </c>
      <c r="J43" s="301" t="s">
        <v>505</v>
      </c>
      <c r="K43" s="382" t="s">
        <v>505</v>
      </c>
      <c r="L43" s="382" t="s">
        <v>505</v>
      </c>
      <c r="M43" s="301" t="s">
        <v>505</v>
      </c>
      <c r="N43" s="297" t="s">
        <v>505</v>
      </c>
      <c r="O43" s="297" t="s">
        <v>505</v>
      </c>
      <c r="P43" s="297" t="s">
        <v>505</v>
      </c>
      <c r="Q43"/>
    </row>
    <row r="44" spans="1:20" ht="15.6">
      <c r="A44" s="1" t="s">
        <v>545</v>
      </c>
      <c r="B44" s="379" t="s">
        <v>188</v>
      </c>
      <c r="C44" s="3">
        <v>3</v>
      </c>
      <c r="D44" s="297" t="s">
        <v>505</v>
      </c>
      <c r="E44" s="301"/>
      <c r="F44" s="301" t="s">
        <v>505</v>
      </c>
      <c r="G44" s="301"/>
      <c r="H44" s="382"/>
      <c r="I44" s="301"/>
      <c r="J44" s="382"/>
      <c r="K44" s="301"/>
      <c r="L44" s="382"/>
      <c r="M44" s="382"/>
      <c r="N44" s="297" t="s">
        <v>505</v>
      </c>
      <c r="O44" s="297"/>
      <c r="P44" s="297" t="s">
        <v>473</v>
      </c>
      <c r="Q44"/>
    </row>
    <row r="45" spans="1:20" ht="15.6">
      <c r="A45" s="1" t="s">
        <v>546</v>
      </c>
      <c r="B45" s="293" t="s">
        <v>547</v>
      </c>
      <c r="C45" s="3">
        <v>2</v>
      </c>
      <c r="D45" s="297" t="s">
        <v>505</v>
      </c>
      <c r="E45" s="297" t="s">
        <v>505</v>
      </c>
      <c r="F45" s="381" t="s">
        <v>505</v>
      </c>
      <c r="G45" s="297"/>
      <c r="H45" s="381"/>
      <c r="I45" s="297"/>
      <c r="J45" s="381"/>
      <c r="K45" s="297"/>
      <c r="L45" s="381"/>
      <c r="M45" s="381"/>
      <c r="N45" s="297" t="s">
        <v>505</v>
      </c>
      <c r="O45" s="297"/>
      <c r="P45" s="297"/>
      <c r="Q45"/>
    </row>
    <row r="46" spans="1:20" ht="15.6">
      <c r="A46" s="1" t="s">
        <v>548</v>
      </c>
      <c r="B46" s="293" t="s">
        <v>324</v>
      </c>
      <c r="C46" s="3">
        <v>1</v>
      </c>
      <c r="D46" s="297" t="s">
        <v>505</v>
      </c>
      <c r="E46" s="297" t="s">
        <v>505</v>
      </c>
      <c r="F46" s="381" t="s">
        <v>505</v>
      </c>
      <c r="G46" s="297"/>
      <c r="H46" s="381"/>
      <c r="I46" s="297"/>
      <c r="J46" s="381"/>
      <c r="K46" s="297"/>
      <c r="L46" s="381"/>
      <c r="M46" s="381"/>
      <c r="N46" s="297" t="s">
        <v>505</v>
      </c>
      <c r="O46" s="297"/>
      <c r="P46" s="297"/>
      <c r="Q46"/>
    </row>
    <row r="47" spans="1:20" ht="15.6">
      <c r="A47" s="1" t="s">
        <v>549</v>
      </c>
      <c r="B47" s="293" t="s">
        <v>205</v>
      </c>
      <c r="C47" s="3">
        <v>3</v>
      </c>
      <c r="D47" s="381" t="s">
        <v>505</v>
      </c>
      <c r="E47" s="381"/>
      <c r="F47" s="381"/>
      <c r="G47" s="297"/>
      <c r="H47" s="381"/>
      <c r="I47" s="297"/>
      <c r="J47" s="381"/>
      <c r="K47" s="297"/>
      <c r="L47" s="381"/>
      <c r="M47" s="381"/>
      <c r="N47" s="297"/>
      <c r="O47" s="297"/>
      <c r="P47" s="297"/>
      <c r="Q47"/>
    </row>
    <row r="48" spans="1:20" ht="15.6">
      <c r="A48" s="1" t="s">
        <v>550</v>
      </c>
      <c r="B48" s="293" t="s">
        <v>551</v>
      </c>
      <c r="C48" s="3">
        <v>3</v>
      </c>
      <c r="D48" s="297" t="s">
        <v>505</v>
      </c>
      <c r="E48" s="297" t="s">
        <v>505</v>
      </c>
      <c r="F48" s="297" t="s">
        <v>505</v>
      </c>
      <c r="G48" s="297"/>
      <c r="H48" s="381"/>
      <c r="I48" s="297"/>
      <c r="J48" s="381"/>
      <c r="K48" s="297" t="s">
        <v>505</v>
      </c>
      <c r="L48" s="297" t="s">
        <v>473</v>
      </c>
      <c r="M48" s="381"/>
      <c r="N48" s="297"/>
      <c r="O48" s="297"/>
      <c r="P48" s="297"/>
      <c r="Q48"/>
    </row>
    <row r="49" spans="1:17" ht="15.6">
      <c r="A49" s="1" t="s">
        <v>552</v>
      </c>
      <c r="B49" s="293" t="s">
        <v>331</v>
      </c>
      <c r="C49" s="3">
        <v>1</v>
      </c>
      <c r="D49" s="297" t="s">
        <v>505</v>
      </c>
      <c r="E49" s="297" t="s">
        <v>505</v>
      </c>
      <c r="F49" s="297" t="s">
        <v>505</v>
      </c>
      <c r="G49" s="297"/>
      <c r="H49" s="381"/>
      <c r="I49" s="297"/>
      <c r="J49" s="381"/>
      <c r="K49" s="297" t="s">
        <v>505</v>
      </c>
      <c r="L49" s="297" t="s">
        <v>473</v>
      </c>
      <c r="M49" s="381"/>
      <c r="N49" s="297"/>
      <c r="O49" s="297"/>
      <c r="P49" s="297"/>
      <c r="Q49"/>
    </row>
    <row r="50" spans="1:17" ht="15.6">
      <c r="A50" s="1" t="s">
        <v>553</v>
      </c>
      <c r="B50" s="293" t="s">
        <v>554</v>
      </c>
      <c r="C50" s="3">
        <v>3</v>
      </c>
      <c r="D50" s="297" t="s">
        <v>505</v>
      </c>
      <c r="E50" s="297" t="s">
        <v>508</v>
      </c>
      <c r="F50" s="381" t="s">
        <v>508</v>
      </c>
      <c r="G50" s="297" t="s">
        <v>505</v>
      </c>
      <c r="H50" s="297" t="s">
        <v>505</v>
      </c>
      <c r="I50" s="297"/>
      <c r="J50" s="381" t="s">
        <v>505</v>
      </c>
      <c r="K50" s="297"/>
      <c r="L50" s="381"/>
      <c r="M50" s="381"/>
      <c r="N50" s="297" t="s">
        <v>505</v>
      </c>
      <c r="O50" s="297"/>
      <c r="P50" s="297" t="s">
        <v>505</v>
      </c>
      <c r="Q50"/>
    </row>
    <row r="51" spans="1:17" ht="15.6">
      <c r="A51" s="1" t="s">
        <v>555</v>
      </c>
      <c r="B51" s="293" t="s">
        <v>337</v>
      </c>
      <c r="C51" s="3">
        <v>1</v>
      </c>
      <c r="D51" s="297" t="s">
        <v>505</v>
      </c>
      <c r="E51" s="297" t="s">
        <v>508</v>
      </c>
      <c r="F51" s="381" t="s">
        <v>508</v>
      </c>
      <c r="G51" s="297" t="s">
        <v>505</v>
      </c>
      <c r="H51" s="297" t="s">
        <v>505</v>
      </c>
      <c r="I51" s="297" t="s">
        <v>505</v>
      </c>
      <c r="J51" s="381" t="s">
        <v>505</v>
      </c>
      <c r="K51" s="297"/>
      <c r="L51" s="381"/>
      <c r="M51" s="381"/>
      <c r="N51" s="297" t="s">
        <v>505</v>
      </c>
      <c r="O51" s="297"/>
      <c r="P51" s="297" t="s">
        <v>505</v>
      </c>
      <c r="Q51"/>
    </row>
    <row r="52" spans="1:17" ht="15.6">
      <c r="A52" s="1" t="s">
        <v>556</v>
      </c>
      <c r="B52" s="293" t="s">
        <v>557</v>
      </c>
      <c r="C52" s="3">
        <v>3</v>
      </c>
      <c r="D52" s="381" t="s">
        <v>508</v>
      </c>
      <c r="E52" s="297" t="s">
        <v>508</v>
      </c>
      <c r="F52" s="297" t="s">
        <v>508</v>
      </c>
      <c r="G52" s="297" t="s">
        <v>508</v>
      </c>
      <c r="H52" s="381" t="s">
        <v>508</v>
      </c>
      <c r="I52" s="297" t="s">
        <v>505</v>
      </c>
      <c r="J52" s="381" t="s">
        <v>508</v>
      </c>
      <c r="K52" s="297"/>
      <c r="L52" s="381"/>
      <c r="M52" s="381"/>
      <c r="N52" s="297" t="s">
        <v>473</v>
      </c>
      <c r="O52" s="297"/>
      <c r="P52" s="297"/>
      <c r="Q52"/>
    </row>
    <row r="53" spans="1:17" ht="15.6">
      <c r="A53" s="1" t="s">
        <v>558</v>
      </c>
      <c r="B53" s="293" t="s">
        <v>343</v>
      </c>
      <c r="C53" s="3">
        <v>1</v>
      </c>
      <c r="D53" s="381" t="s">
        <v>508</v>
      </c>
      <c r="E53" s="297" t="s">
        <v>508</v>
      </c>
      <c r="F53" s="297" t="s">
        <v>508</v>
      </c>
      <c r="G53" s="297" t="s">
        <v>508</v>
      </c>
      <c r="H53" s="381" t="s">
        <v>508</v>
      </c>
      <c r="I53" s="297" t="s">
        <v>505</v>
      </c>
      <c r="J53" s="381" t="s">
        <v>508</v>
      </c>
      <c r="K53" s="297"/>
      <c r="L53" s="381"/>
      <c r="M53" s="381"/>
      <c r="N53" s="297" t="s">
        <v>473</v>
      </c>
      <c r="O53" s="297"/>
      <c r="P53" s="297"/>
      <c r="Q53"/>
    </row>
    <row r="54" spans="1:17" ht="15.6">
      <c r="A54" s="1" t="s">
        <v>559</v>
      </c>
      <c r="B54" s="293" t="s">
        <v>180</v>
      </c>
      <c r="C54" s="3">
        <v>3</v>
      </c>
      <c r="D54" s="381" t="s">
        <v>505</v>
      </c>
      <c r="E54" s="381" t="s">
        <v>505</v>
      </c>
      <c r="F54" s="381" t="s">
        <v>505</v>
      </c>
      <c r="G54" s="297" t="s">
        <v>505</v>
      </c>
      <c r="H54" s="381" t="s">
        <v>505</v>
      </c>
      <c r="I54" s="297" t="s">
        <v>505</v>
      </c>
      <c r="J54" s="381" t="s">
        <v>505</v>
      </c>
      <c r="K54" s="297"/>
      <c r="L54" s="381"/>
      <c r="M54" s="381"/>
      <c r="N54" s="297"/>
      <c r="O54" s="297"/>
      <c r="P54" s="297"/>
      <c r="Q54"/>
    </row>
    <row r="55" spans="1:17" ht="15.6">
      <c r="A55" s="1" t="s">
        <v>560</v>
      </c>
      <c r="B55" s="293" t="s">
        <v>346</v>
      </c>
      <c r="C55" s="3">
        <v>1</v>
      </c>
      <c r="D55" s="297" t="s">
        <v>473</v>
      </c>
      <c r="E55" s="297" t="s">
        <v>473</v>
      </c>
      <c r="F55" s="297" t="s">
        <v>473</v>
      </c>
      <c r="G55" s="297" t="s">
        <v>505</v>
      </c>
      <c r="H55" s="381"/>
      <c r="I55" s="297" t="s">
        <v>473</v>
      </c>
      <c r="J55" s="381" t="s">
        <v>473</v>
      </c>
      <c r="K55" s="297"/>
      <c r="L55" s="381"/>
      <c r="M55" s="381"/>
      <c r="N55" s="297"/>
      <c r="O55" s="297"/>
      <c r="P55" s="297" t="s">
        <v>505</v>
      </c>
      <c r="Q55"/>
    </row>
    <row r="56" spans="1:17" ht="15.6">
      <c r="A56" s="1" t="s">
        <v>561</v>
      </c>
      <c r="B56" s="293" t="s">
        <v>204</v>
      </c>
      <c r="C56" s="3">
        <v>1</v>
      </c>
      <c r="D56" s="381"/>
      <c r="E56" s="381"/>
      <c r="F56" s="381"/>
      <c r="G56" s="381" t="s">
        <v>508</v>
      </c>
      <c r="H56" s="381"/>
      <c r="I56" s="297"/>
      <c r="J56" s="381" t="s">
        <v>508</v>
      </c>
      <c r="K56" s="381" t="s">
        <v>508</v>
      </c>
      <c r="L56" s="381" t="s">
        <v>508</v>
      </c>
      <c r="M56" s="381" t="s">
        <v>508</v>
      </c>
      <c r="N56" s="297"/>
      <c r="O56" s="297"/>
      <c r="P56" s="297"/>
      <c r="Q56"/>
    </row>
    <row r="57" spans="1:17" ht="15.6">
      <c r="A57" s="1" t="s">
        <v>562</v>
      </c>
      <c r="B57" s="293" t="s">
        <v>203</v>
      </c>
      <c r="C57" s="3">
        <v>3</v>
      </c>
      <c r="D57" s="381"/>
      <c r="E57" s="381"/>
      <c r="F57" s="381" t="s">
        <v>505</v>
      </c>
      <c r="G57" s="297"/>
      <c r="H57" s="381"/>
      <c r="I57" s="297"/>
      <c r="J57" s="381"/>
      <c r="K57" s="381" t="s">
        <v>505</v>
      </c>
      <c r="L57" s="381"/>
      <c r="M57" s="381" t="s">
        <v>505</v>
      </c>
      <c r="N57" s="381"/>
      <c r="O57" s="381"/>
      <c r="P57" s="381"/>
      <c r="Q57"/>
    </row>
    <row r="58" spans="1:17" ht="15.6">
      <c r="A58" s="1" t="s">
        <v>563</v>
      </c>
      <c r="B58" s="293" t="s">
        <v>353</v>
      </c>
      <c r="C58" s="3">
        <v>2</v>
      </c>
      <c r="D58" s="381"/>
      <c r="E58" s="381"/>
      <c r="F58" s="381"/>
      <c r="G58" s="381"/>
      <c r="H58" s="381"/>
      <c r="I58" s="381" t="s">
        <v>505</v>
      </c>
      <c r="J58" s="381"/>
      <c r="K58" s="381" t="s">
        <v>505</v>
      </c>
      <c r="L58" s="381" t="s">
        <v>505</v>
      </c>
      <c r="M58" s="381" t="s">
        <v>505</v>
      </c>
      <c r="N58" s="381"/>
      <c r="O58" s="381"/>
      <c r="P58" s="381"/>
      <c r="Q58"/>
    </row>
    <row r="59" spans="1:17" ht="15.6">
      <c r="A59" s="1" t="s">
        <v>564</v>
      </c>
      <c r="B59" s="293" t="s">
        <v>565</v>
      </c>
      <c r="C59" s="3">
        <v>3</v>
      </c>
      <c r="D59" s="381"/>
      <c r="E59" s="381"/>
      <c r="F59" s="381"/>
      <c r="G59" s="382"/>
      <c r="H59" s="382"/>
      <c r="I59" s="382"/>
      <c r="J59" s="382"/>
      <c r="K59" s="382"/>
      <c r="L59" s="382"/>
      <c r="M59" s="382"/>
      <c r="N59" s="301" t="s">
        <v>508</v>
      </c>
      <c r="O59" s="381"/>
      <c r="P59" s="381" t="s">
        <v>508</v>
      </c>
      <c r="Q59"/>
    </row>
    <row r="60" spans="1:17" ht="15.6">
      <c r="A60" s="1" t="s">
        <v>566</v>
      </c>
      <c r="B60" s="293" t="s">
        <v>356</v>
      </c>
      <c r="C60" s="3">
        <v>1</v>
      </c>
      <c r="D60" s="317" t="s">
        <v>508</v>
      </c>
      <c r="E60" s="381" t="s">
        <v>508</v>
      </c>
      <c r="F60" s="381" t="s">
        <v>508</v>
      </c>
      <c r="G60" s="382" t="s">
        <v>508</v>
      </c>
      <c r="H60" s="382" t="s">
        <v>508</v>
      </c>
      <c r="I60" s="382" t="s">
        <v>508</v>
      </c>
      <c r="J60" s="382" t="s">
        <v>508</v>
      </c>
      <c r="K60" s="382" t="s">
        <v>508</v>
      </c>
      <c r="L60" s="382" t="s">
        <v>508</v>
      </c>
      <c r="M60" s="382" t="s">
        <v>508</v>
      </c>
      <c r="N60" s="382" t="s">
        <v>508</v>
      </c>
      <c r="O60" s="381" t="s">
        <v>508</v>
      </c>
      <c r="P60" s="381" t="s">
        <v>508</v>
      </c>
      <c r="Q60"/>
    </row>
    <row r="61" spans="1:17" ht="15.6">
      <c r="A61" s="1" t="s">
        <v>567</v>
      </c>
      <c r="B61" s="293" t="s">
        <v>358</v>
      </c>
      <c r="C61" s="3">
        <v>2</v>
      </c>
      <c r="D61" s="381" t="s">
        <v>508</v>
      </c>
      <c r="E61" s="381" t="s">
        <v>508</v>
      </c>
      <c r="F61" s="381" t="s">
        <v>508</v>
      </c>
      <c r="G61" s="382" t="s">
        <v>508</v>
      </c>
      <c r="H61" s="382" t="s">
        <v>508</v>
      </c>
      <c r="I61" s="382" t="s">
        <v>508</v>
      </c>
      <c r="J61" s="382" t="s">
        <v>508</v>
      </c>
      <c r="K61" s="382" t="s">
        <v>508</v>
      </c>
      <c r="L61" s="382" t="s">
        <v>508</v>
      </c>
      <c r="M61" s="382" t="s">
        <v>508</v>
      </c>
      <c r="N61" s="382" t="s">
        <v>508</v>
      </c>
      <c r="O61" s="381" t="s">
        <v>508</v>
      </c>
      <c r="P61" s="381" t="s">
        <v>508</v>
      </c>
      <c r="Q61"/>
    </row>
    <row r="62" spans="1:17" ht="15.6">
      <c r="A62" s="1" t="s">
        <v>568</v>
      </c>
      <c r="B62" s="293" t="s">
        <v>228</v>
      </c>
      <c r="C62" s="3">
        <v>6</v>
      </c>
      <c r="D62" s="317" t="s">
        <v>508</v>
      </c>
      <c r="E62" s="381" t="s">
        <v>508</v>
      </c>
      <c r="F62" s="381" t="s">
        <v>508</v>
      </c>
      <c r="G62" s="382" t="s">
        <v>508</v>
      </c>
      <c r="H62" s="382" t="s">
        <v>508</v>
      </c>
      <c r="I62" s="382" t="s">
        <v>508</v>
      </c>
      <c r="J62" s="382" t="s">
        <v>508</v>
      </c>
      <c r="K62" s="382" t="s">
        <v>508</v>
      </c>
      <c r="L62" s="382" t="s">
        <v>508</v>
      </c>
      <c r="M62" s="382" t="s">
        <v>508</v>
      </c>
      <c r="N62" s="382" t="s">
        <v>508</v>
      </c>
      <c r="O62" s="381" t="s">
        <v>508</v>
      </c>
      <c r="P62" s="381" t="s">
        <v>508</v>
      </c>
      <c r="Q62"/>
    </row>
    <row r="63" spans="1:17" ht="15.6">
      <c r="A63" s="1" t="s">
        <v>569</v>
      </c>
      <c r="B63" s="293" t="s">
        <v>229</v>
      </c>
      <c r="C63" s="3">
        <v>6</v>
      </c>
      <c r="D63" s="317" t="s">
        <v>508</v>
      </c>
      <c r="E63" s="381" t="s">
        <v>508</v>
      </c>
      <c r="F63" s="381" t="s">
        <v>508</v>
      </c>
      <c r="G63" s="382" t="s">
        <v>508</v>
      </c>
      <c r="H63" s="382" t="s">
        <v>508</v>
      </c>
      <c r="I63" s="382" t="s">
        <v>508</v>
      </c>
      <c r="J63" s="382" t="s">
        <v>508</v>
      </c>
      <c r="K63" s="382" t="s">
        <v>508</v>
      </c>
      <c r="L63" s="382" t="s">
        <v>508</v>
      </c>
      <c r="M63" s="382" t="s">
        <v>508</v>
      </c>
      <c r="N63" s="382" t="s">
        <v>508</v>
      </c>
      <c r="O63" s="381" t="s">
        <v>508</v>
      </c>
      <c r="P63" s="381" t="s">
        <v>508</v>
      </c>
      <c r="Q63"/>
    </row>
    <row r="64" spans="1:17" ht="15.6">
      <c r="A64" s="1" t="s">
        <v>570</v>
      </c>
      <c r="B64" s="293" t="s">
        <v>231</v>
      </c>
      <c r="C64" s="3">
        <v>6</v>
      </c>
      <c r="D64" s="317" t="s">
        <v>508</v>
      </c>
      <c r="E64" s="381" t="s">
        <v>508</v>
      </c>
      <c r="F64" s="381" t="s">
        <v>508</v>
      </c>
      <c r="G64" s="382" t="s">
        <v>508</v>
      </c>
      <c r="H64" s="382" t="s">
        <v>508</v>
      </c>
      <c r="I64" s="382" t="s">
        <v>508</v>
      </c>
      <c r="J64" s="382" t="s">
        <v>508</v>
      </c>
      <c r="K64" s="382" t="s">
        <v>508</v>
      </c>
      <c r="L64" s="382" t="s">
        <v>508</v>
      </c>
      <c r="M64" s="382" t="s">
        <v>508</v>
      </c>
      <c r="N64" s="382" t="s">
        <v>508</v>
      </c>
      <c r="O64" s="381" t="s">
        <v>508</v>
      </c>
      <c r="P64" s="381" t="s">
        <v>508</v>
      </c>
      <c r="Q64"/>
    </row>
    <row r="65" spans="1:21" ht="15.6">
      <c r="A65" s="1" t="s">
        <v>571</v>
      </c>
      <c r="B65" s="379" t="s">
        <v>572</v>
      </c>
      <c r="C65" s="3">
        <v>1</v>
      </c>
      <c r="D65" s="381"/>
      <c r="E65" s="297" t="s">
        <v>505</v>
      </c>
      <c r="F65" s="297" t="s">
        <v>505</v>
      </c>
      <c r="G65" s="297" t="s">
        <v>473</v>
      </c>
      <c r="H65" s="297" t="s">
        <v>473</v>
      </c>
      <c r="I65" s="381"/>
      <c r="J65" s="381"/>
      <c r="K65" s="381"/>
      <c r="L65" s="381"/>
      <c r="M65" s="381"/>
      <c r="N65" s="297" t="s">
        <v>505</v>
      </c>
      <c r="O65" s="297" t="s">
        <v>473</v>
      </c>
      <c r="P65" s="297" t="s">
        <v>473</v>
      </c>
      <c r="Q65"/>
    </row>
    <row r="66" spans="1:21" ht="15.6">
      <c r="A66" s="1" t="s">
        <v>573</v>
      </c>
      <c r="B66" s="379" t="s">
        <v>574</v>
      </c>
      <c r="C66" s="3">
        <v>1</v>
      </c>
      <c r="D66" s="381"/>
      <c r="E66" s="297" t="s">
        <v>505</v>
      </c>
      <c r="F66" s="297" t="s">
        <v>505</v>
      </c>
      <c r="G66" s="297" t="s">
        <v>505</v>
      </c>
      <c r="H66" s="297" t="s">
        <v>505</v>
      </c>
      <c r="I66" s="381"/>
      <c r="J66" s="381"/>
      <c r="K66" s="381"/>
      <c r="L66" s="381"/>
      <c r="M66" s="381"/>
      <c r="N66" s="297" t="s">
        <v>505</v>
      </c>
      <c r="O66" s="297" t="s">
        <v>505</v>
      </c>
      <c r="P66" s="297" t="s">
        <v>505</v>
      </c>
      <c r="Q66"/>
    </row>
    <row r="67" spans="1:21" ht="15.6">
      <c r="A67" s="380" t="s">
        <v>573</v>
      </c>
      <c r="B67" s="379" t="s">
        <v>575</v>
      </c>
      <c r="C67" s="3">
        <v>1</v>
      </c>
      <c r="D67" s="381"/>
      <c r="E67" s="381"/>
      <c r="F67" s="381"/>
      <c r="G67" s="297" t="s">
        <v>505</v>
      </c>
      <c r="H67" s="381"/>
      <c r="I67" s="381"/>
      <c r="J67" s="381"/>
      <c r="K67" s="381"/>
      <c r="L67" s="381"/>
      <c r="M67" s="381"/>
      <c r="N67" s="297" t="s">
        <v>505</v>
      </c>
      <c r="O67" s="381"/>
      <c r="P67" s="381"/>
      <c r="Q67"/>
    </row>
    <row r="68" spans="1:21" ht="15.6">
      <c r="A68" s="1" t="s">
        <v>576</v>
      </c>
      <c r="B68" s="293" t="s">
        <v>577</v>
      </c>
      <c r="C68" s="3">
        <v>3</v>
      </c>
      <c r="D68" s="297" t="s">
        <v>473</v>
      </c>
      <c r="E68" s="297" t="s">
        <v>473</v>
      </c>
      <c r="F68" s="297" t="s">
        <v>473</v>
      </c>
      <c r="G68" s="381"/>
      <c r="H68" s="381" t="s">
        <v>473</v>
      </c>
      <c r="I68" s="381"/>
      <c r="J68" s="381"/>
      <c r="K68" s="297" t="s">
        <v>473</v>
      </c>
      <c r="L68" s="381"/>
      <c r="M68" s="381"/>
      <c r="N68" s="381" t="s">
        <v>505</v>
      </c>
      <c r="O68" s="381"/>
      <c r="P68" s="381" t="s">
        <v>473</v>
      </c>
      <c r="Q68"/>
    </row>
    <row r="69" spans="1:21" ht="15.6">
      <c r="A69" s="1" t="s">
        <v>578</v>
      </c>
      <c r="B69" s="293" t="s">
        <v>579</v>
      </c>
      <c r="C69" s="3">
        <v>3</v>
      </c>
      <c r="D69" s="297" t="s">
        <v>473</v>
      </c>
      <c r="E69" s="297" t="s">
        <v>473</v>
      </c>
      <c r="F69" s="297" t="s">
        <v>473</v>
      </c>
      <c r="G69" s="381"/>
      <c r="H69" s="381" t="s">
        <v>473</v>
      </c>
      <c r="I69" s="381"/>
      <c r="J69" s="381"/>
      <c r="K69" s="297" t="s">
        <v>473</v>
      </c>
      <c r="L69" s="381"/>
      <c r="M69" s="381"/>
      <c r="N69" s="381" t="s">
        <v>505</v>
      </c>
      <c r="O69" s="381"/>
      <c r="P69" s="381" t="s">
        <v>505</v>
      </c>
      <c r="Q69"/>
    </row>
    <row r="70" spans="1:21" ht="15.6">
      <c r="A70" s="1" t="s">
        <v>580</v>
      </c>
      <c r="B70" s="293" t="s">
        <v>581</v>
      </c>
      <c r="C70" s="3">
        <v>3</v>
      </c>
      <c r="D70" s="297" t="s">
        <v>473</v>
      </c>
      <c r="E70" s="297" t="s">
        <v>473</v>
      </c>
      <c r="F70" s="297" t="s">
        <v>473</v>
      </c>
      <c r="G70" s="381"/>
      <c r="H70" s="381" t="s">
        <v>473</v>
      </c>
      <c r="I70" s="381"/>
      <c r="J70" s="381"/>
      <c r="K70" s="297" t="s">
        <v>473</v>
      </c>
      <c r="L70" s="381"/>
      <c r="M70" s="381"/>
      <c r="N70" s="381" t="s">
        <v>505</v>
      </c>
      <c r="O70" s="381"/>
      <c r="P70" s="381" t="s">
        <v>508</v>
      </c>
      <c r="Q70"/>
    </row>
    <row r="71" spans="1:21" ht="15.6">
      <c r="A71" s="1" t="s">
        <v>582</v>
      </c>
      <c r="B71" s="293" t="s">
        <v>583</v>
      </c>
      <c r="C71" s="3">
        <v>3</v>
      </c>
      <c r="D71" s="297" t="s">
        <v>473</v>
      </c>
      <c r="E71" s="297" t="s">
        <v>473</v>
      </c>
      <c r="F71" s="297" t="s">
        <v>473</v>
      </c>
      <c r="G71" s="381"/>
      <c r="H71" s="381" t="s">
        <v>473</v>
      </c>
      <c r="I71" s="381"/>
      <c r="J71" s="381"/>
      <c r="K71" s="297" t="s">
        <v>473</v>
      </c>
      <c r="L71" s="381"/>
      <c r="M71" s="381"/>
      <c r="N71" s="381" t="s">
        <v>505</v>
      </c>
      <c r="O71" s="381"/>
      <c r="P71" s="381" t="s">
        <v>505</v>
      </c>
      <c r="Q71"/>
    </row>
    <row r="72" spans="1:21" ht="15.6">
      <c r="A72" s="1" t="s">
        <v>584</v>
      </c>
      <c r="B72" s="293" t="s">
        <v>585</v>
      </c>
      <c r="C72" s="3">
        <v>3</v>
      </c>
      <c r="D72" s="297" t="s">
        <v>473</v>
      </c>
      <c r="E72" s="297" t="s">
        <v>473</v>
      </c>
      <c r="F72" s="297" t="s">
        <v>473</v>
      </c>
      <c r="G72" s="381"/>
      <c r="H72" s="381" t="s">
        <v>473</v>
      </c>
      <c r="I72" s="381"/>
      <c r="J72" s="381"/>
      <c r="K72" s="297" t="s">
        <v>473</v>
      </c>
      <c r="L72" s="381"/>
      <c r="M72" s="381"/>
      <c r="N72" s="381" t="s">
        <v>505</v>
      </c>
      <c r="O72" s="381"/>
      <c r="P72" s="381" t="s">
        <v>505</v>
      </c>
      <c r="Q72"/>
    </row>
    <row r="73" spans="1:21" ht="15.6">
      <c r="A73" s="1" t="s">
        <v>586</v>
      </c>
      <c r="B73" s="293" t="s">
        <v>587</v>
      </c>
      <c r="C73" s="3">
        <v>3</v>
      </c>
      <c r="D73" s="297" t="s">
        <v>473</v>
      </c>
      <c r="E73" s="297" t="s">
        <v>473</v>
      </c>
      <c r="F73" s="297" t="s">
        <v>473</v>
      </c>
      <c r="G73" s="381"/>
      <c r="H73" s="381" t="s">
        <v>473</v>
      </c>
      <c r="I73" s="381"/>
      <c r="J73" s="381"/>
      <c r="K73" s="297" t="s">
        <v>473</v>
      </c>
      <c r="L73" s="381"/>
      <c r="M73" s="381"/>
      <c r="N73" s="381" t="s">
        <v>505</v>
      </c>
      <c r="O73" s="381"/>
      <c r="P73" s="381" t="s">
        <v>505</v>
      </c>
      <c r="Q73"/>
    </row>
    <row r="74" spans="1:21" ht="15.6">
      <c r="A74" s="1" t="s">
        <v>588</v>
      </c>
      <c r="B74" s="293" t="s">
        <v>589</v>
      </c>
      <c r="C74" s="3">
        <v>3</v>
      </c>
      <c r="D74" s="297" t="s">
        <v>473</v>
      </c>
      <c r="E74" s="297" t="s">
        <v>473</v>
      </c>
      <c r="F74" s="297" t="s">
        <v>473</v>
      </c>
      <c r="G74" s="381"/>
      <c r="H74" s="381" t="s">
        <v>473</v>
      </c>
      <c r="I74" s="381"/>
      <c r="J74" s="381"/>
      <c r="K74" s="297" t="s">
        <v>473</v>
      </c>
      <c r="L74" s="381"/>
      <c r="M74" s="381"/>
      <c r="N74" s="381" t="s">
        <v>505</v>
      </c>
      <c r="O74" s="381"/>
      <c r="P74" s="381" t="s">
        <v>473</v>
      </c>
      <c r="Q74"/>
    </row>
    <row r="75" spans="1:21" ht="15.6">
      <c r="A75" s="1" t="s">
        <v>590</v>
      </c>
      <c r="B75" s="293" t="s">
        <v>591</v>
      </c>
      <c r="C75" s="3">
        <v>3</v>
      </c>
      <c r="D75" s="297" t="s">
        <v>473</v>
      </c>
      <c r="E75" s="297" t="s">
        <v>473</v>
      </c>
      <c r="F75" s="297" t="s">
        <v>473</v>
      </c>
      <c r="G75" s="381"/>
      <c r="H75" s="381" t="s">
        <v>473</v>
      </c>
      <c r="I75" s="381"/>
      <c r="J75" s="381"/>
      <c r="K75" s="297" t="s">
        <v>473</v>
      </c>
      <c r="L75" s="381"/>
      <c r="M75" s="381"/>
      <c r="N75" s="381" t="s">
        <v>505</v>
      </c>
      <c r="O75" s="381"/>
      <c r="P75" s="381" t="s">
        <v>505</v>
      </c>
      <c r="Q75"/>
    </row>
    <row r="76" spans="1:21" ht="15.6">
      <c r="A76" s="1" t="s">
        <v>592</v>
      </c>
      <c r="B76" s="293" t="s">
        <v>593</v>
      </c>
      <c r="C76" s="3">
        <v>3</v>
      </c>
      <c r="D76" s="297" t="s">
        <v>473</v>
      </c>
      <c r="E76" s="297" t="s">
        <v>473</v>
      </c>
      <c r="F76" s="297" t="s">
        <v>473</v>
      </c>
      <c r="G76" s="381"/>
      <c r="H76" s="381" t="s">
        <v>473</v>
      </c>
      <c r="I76" s="381"/>
      <c r="J76" s="381"/>
      <c r="K76" s="297" t="s">
        <v>473</v>
      </c>
      <c r="L76" s="381"/>
      <c r="M76" s="381"/>
      <c r="N76" s="381" t="s">
        <v>505</v>
      </c>
      <c r="O76" s="381"/>
      <c r="P76" s="381" t="s">
        <v>508</v>
      </c>
      <c r="Q76"/>
    </row>
    <row r="79" spans="1:21" ht="15.6">
      <c r="D79" s="290"/>
      <c r="E79" s="290"/>
      <c r="F79" s="290"/>
      <c r="G79" s="325"/>
      <c r="H79" s="290"/>
      <c r="I79" s="325"/>
      <c r="J79" s="290"/>
      <c r="K79" s="325"/>
      <c r="L79" s="290"/>
      <c r="M79" s="290"/>
      <c r="N79" s="325"/>
      <c r="O79" s="325"/>
      <c r="P79" s="325"/>
      <c r="R79" s="324"/>
      <c r="S79" s="292"/>
      <c r="T79" s="292"/>
      <c r="U79" s="292"/>
    </row>
    <row r="80" spans="1:21" s="292" customFormat="1" ht="15.6">
      <c r="A80" s="289" t="s">
        <v>456</v>
      </c>
      <c r="B80" s="289" t="s">
        <v>594</v>
      </c>
      <c r="C80" s="326" t="s">
        <v>429</v>
      </c>
      <c r="D80" s="289" t="s">
        <v>458</v>
      </c>
      <c r="E80" s="289" t="s">
        <v>459</v>
      </c>
      <c r="F80" s="289" t="s">
        <v>460</v>
      </c>
      <c r="G80" s="289" t="s">
        <v>461</v>
      </c>
      <c r="H80" s="289" t="s">
        <v>462</v>
      </c>
      <c r="I80" s="289" t="s">
        <v>463</v>
      </c>
      <c r="J80" s="289" t="s">
        <v>464</v>
      </c>
      <c r="K80" s="289" t="s">
        <v>465</v>
      </c>
      <c r="L80" s="289" t="s">
        <v>466</v>
      </c>
      <c r="M80" s="289" t="s">
        <v>467</v>
      </c>
      <c r="N80" s="289" t="s">
        <v>468</v>
      </c>
      <c r="O80" s="289" t="s">
        <v>469</v>
      </c>
      <c r="P80" s="289" t="s">
        <v>470</v>
      </c>
      <c r="Q80" s="290"/>
      <c r="R80" s="324"/>
    </row>
    <row r="81" spans="1:21" ht="15.6">
      <c r="A81" s="1" t="s">
        <v>595</v>
      </c>
      <c r="B81" s="293" t="s">
        <v>199</v>
      </c>
      <c r="C81" s="42">
        <v>3</v>
      </c>
      <c r="D81" s="294"/>
      <c r="E81" s="294"/>
      <c r="F81" s="294"/>
      <c r="G81" s="294"/>
      <c r="H81" s="294"/>
      <c r="I81" s="294"/>
      <c r="J81" s="294"/>
      <c r="K81" s="294" t="s">
        <v>473</v>
      </c>
      <c r="L81" s="294"/>
      <c r="M81" s="294" t="s">
        <v>473</v>
      </c>
      <c r="N81" s="294"/>
      <c r="O81" s="294"/>
      <c r="P81" s="294"/>
      <c r="Q81" s="290"/>
      <c r="R81" s="324"/>
      <c r="S81" s="292"/>
      <c r="T81" s="292"/>
      <c r="U81" s="292"/>
    </row>
    <row r="82" spans="1:21" ht="15.6">
      <c r="A82" s="1" t="s">
        <v>596</v>
      </c>
      <c r="B82" s="293" t="s">
        <v>217</v>
      </c>
      <c r="C82" s="42">
        <v>3</v>
      </c>
      <c r="D82" s="294"/>
      <c r="E82" s="294"/>
      <c r="F82" s="294"/>
      <c r="G82" s="294"/>
      <c r="H82" s="294"/>
      <c r="I82" s="294"/>
      <c r="J82" s="294"/>
      <c r="K82" s="294"/>
      <c r="L82" s="294" t="s">
        <v>473</v>
      </c>
      <c r="M82" s="294" t="s">
        <v>473</v>
      </c>
      <c r="N82" s="294"/>
      <c r="O82" s="294"/>
      <c r="P82" s="294"/>
      <c r="Q82" s="290"/>
      <c r="R82" s="324"/>
      <c r="S82" s="292"/>
      <c r="T82" s="292"/>
      <c r="U82" s="292"/>
    </row>
    <row r="83" spans="1:21" ht="15.6">
      <c r="A83" s="1" t="s">
        <v>597</v>
      </c>
      <c r="B83" s="293" t="s">
        <v>166</v>
      </c>
      <c r="C83" s="42">
        <v>3</v>
      </c>
      <c r="D83" s="294"/>
      <c r="E83" s="294"/>
      <c r="F83" s="294"/>
      <c r="G83" s="294"/>
      <c r="H83" s="294"/>
      <c r="I83" s="294" t="s">
        <v>473</v>
      </c>
      <c r="J83" s="294"/>
      <c r="K83" s="294"/>
      <c r="L83" s="294"/>
      <c r="M83" s="294" t="s">
        <v>473</v>
      </c>
      <c r="N83" s="294"/>
      <c r="O83" s="294"/>
      <c r="P83" s="294"/>
      <c r="Q83" s="290"/>
      <c r="R83" s="324"/>
      <c r="S83" s="292"/>
      <c r="T83" s="292"/>
      <c r="U83" s="292"/>
    </row>
    <row r="84" spans="1:21" ht="15.6">
      <c r="A84" s="1" t="s">
        <v>598</v>
      </c>
      <c r="B84" s="293" t="s">
        <v>197</v>
      </c>
      <c r="C84" s="42">
        <v>3</v>
      </c>
      <c r="D84" s="294"/>
      <c r="E84" s="294"/>
      <c r="F84" s="294"/>
      <c r="G84" s="294"/>
      <c r="H84" s="294"/>
      <c r="I84" s="294"/>
      <c r="J84" s="294"/>
      <c r="K84" s="294"/>
      <c r="L84" s="294" t="s">
        <v>473</v>
      </c>
      <c r="M84" s="294" t="s">
        <v>473</v>
      </c>
      <c r="N84" s="294"/>
      <c r="O84" s="294"/>
      <c r="P84" s="294"/>
      <c r="Q84" s="290"/>
      <c r="R84" s="324"/>
      <c r="S84" s="292"/>
      <c r="T84" s="292"/>
      <c r="U84" s="292"/>
    </row>
    <row r="85" spans="1:21" ht="15.6">
      <c r="A85" s="1" t="s">
        <v>599</v>
      </c>
      <c r="B85" s="293" t="s">
        <v>200</v>
      </c>
      <c r="C85" s="42">
        <v>3</v>
      </c>
      <c r="D85" s="294"/>
      <c r="E85" s="294"/>
      <c r="F85" s="294"/>
      <c r="G85" s="294" t="s">
        <v>473</v>
      </c>
      <c r="H85" s="294"/>
      <c r="I85" s="294"/>
      <c r="J85" s="297" t="s">
        <v>473</v>
      </c>
      <c r="K85" s="294" t="s">
        <v>473</v>
      </c>
      <c r="L85" s="294"/>
      <c r="M85" s="294"/>
      <c r="N85" s="294"/>
      <c r="O85" s="294"/>
      <c r="P85" s="294"/>
      <c r="Q85" s="290"/>
      <c r="R85" s="324"/>
      <c r="S85" s="292"/>
      <c r="T85" s="292"/>
      <c r="U85" s="292"/>
    </row>
    <row r="86" spans="1:21" ht="15.6">
      <c r="A86" s="1" t="s">
        <v>600</v>
      </c>
      <c r="B86" s="293" t="s">
        <v>396</v>
      </c>
      <c r="C86" s="42">
        <v>3</v>
      </c>
      <c r="D86" s="294"/>
      <c r="E86" s="294"/>
      <c r="F86" s="294"/>
      <c r="G86" s="294"/>
      <c r="H86" s="294"/>
      <c r="I86" s="294" t="s">
        <v>473</v>
      </c>
      <c r="J86" s="294" t="s">
        <v>505</v>
      </c>
      <c r="K86" s="294" t="s">
        <v>473</v>
      </c>
      <c r="L86" s="294"/>
      <c r="M86" s="294"/>
      <c r="N86" s="294"/>
      <c r="O86" s="294"/>
      <c r="P86" s="294"/>
      <c r="Q86" s="290"/>
      <c r="R86" s="324"/>
      <c r="S86" s="292"/>
      <c r="T86" s="292"/>
      <c r="U86" s="292"/>
    </row>
    <row r="87" spans="1:21" ht="15.6">
      <c r="A87" s="1" t="s">
        <v>601</v>
      </c>
      <c r="B87" s="293" t="s">
        <v>602</v>
      </c>
      <c r="C87" s="42">
        <v>3</v>
      </c>
      <c r="D87" s="294"/>
      <c r="E87" s="294"/>
      <c r="F87" s="294"/>
      <c r="G87" s="294"/>
      <c r="H87" s="294"/>
      <c r="I87" s="294"/>
      <c r="J87" s="294"/>
      <c r="K87" s="294"/>
      <c r="L87" s="294"/>
      <c r="M87" s="294" t="s">
        <v>473</v>
      </c>
      <c r="N87" s="294"/>
      <c r="O87" s="294"/>
      <c r="P87" s="294"/>
      <c r="Q87" s="290"/>
      <c r="R87" s="324"/>
      <c r="S87" s="292"/>
      <c r="T87" s="292"/>
      <c r="U87" s="292"/>
    </row>
    <row r="88" spans="1:21" ht="15.6">
      <c r="A88" s="1" t="s">
        <v>603</v>
      </c>
      <c r="B88" s="293" t="s">
        <v>391</v>
      </c>
      <c r="C88" s="42">
        <v>3</v>
      </c>
      <c r="D88" s="294"/>
      <c r="E88" s="294"/>
      <c r="F88" s="294"/>
      <c r="G88" s="294"/>
      <c r="H88" s="294"/>
      <c r="I88" s="294" t="s">
        <v>473</v>
      </c>
      <c r="J88" s="294"/>
      <c r="K88" s="294"/>
      <c r="L88" s="294"/>
      <c r="M88" s="294" t="s">
        <v>473</v>
      </c>
      <c r="N88" s="294"/>
      <c r="O88" s="294"/>
      <c r="P88" s="294"/>
      <c r="Q88" s="290"/>
      <c r="R88" s="324"/>
      <c r="S88" s="292"/>
      <c r="T88" s="292"/>
      <c r="U88" s="292"/>
    </row>
    <row r="89" spans="1:21" ht="15.6">
      <c r="A89" s="1" t="s">
        <v>604</v>
      </c>
      <c r="B89" s="293" t="s">
        <v>605</v>
      </c>
      <c r="C89" s="42">
        <v>3</v>
      </c>
      <c r="D89" s="294"/>
      <c r="E89" s="294"/>
      <c r="F89" s="294"/>
      <c r="G89" s="294"/>
      <c r="H89" s="294"/>
      <c r="I89" s="294"/>
      <c r="J89" s="294" t="s">
        <v>505</v>
      </c>
      <c r="K89" s="294"/>
      <c r="L89" s="294"/>
      <c r="M89" s="294"/>
      <c r="N89" s="294"/>
      <c r="O89" s="294"/>
      <c r="P89" s="294"/>
      <c r="Q89" s="290"/>
      <c r="R89" s="324"/>
      <c r="S89" s="292"/>
      <c r="T89" s="292"/>
      <c r="U89" s="292"/>
    </row>
    <row r="90" spans="1:21" ht="15.6">
      <c r="A90" s="1" t="s">
        <v>606</v>
      </c>
      <c r="B90" s="293" t="s">
        <v>607</v>
      </c>
      <c r="C90" s="42">
        <v>3</v>
      </c>
      <c r="D90" s="294"/>
      <c r="E90" s="294"/>
      <c r="F90" s="294"/>
      <c r="G90" s="294"/>
      <c r="H90" s="294"/>
      <c r="I90" s="294"/>
      <c r="J90" s="294" t="s">
        <v>505</v>
      </c>
      <c r="K90" s="294"/>
      <c r="L90" s="294"/>
      <c r="M90" s="294"/>
      <c r="N90" s="294"/>
      <c r="O90" s="294"/>
      <c r="P90" s="294"/>
      <c r="Q90" s="290"/>
      <c r="R90" s="324"/>
      <c r="S90" s="292"/>
      <c r="T90" s="292"/>
      <c r="U90" s="292"/>
    </row>
    <row r="91" spans="1:21" ht="15.6">
      <c r="A91" s="1" t="s">
        <v>608</v>
      </c>
      <c r="B91" s="293" t="s">
        <v>609</v>
      </c>
      <c r="C91" s="42">
        <v>3</v>
      </c>
      <c r="D91" s="294"/>
      <c r="E91" s="294"/>
      <c r="F91" s="294"/>
      <c r="G91" s="294"/>
      <c r="H91" s="294"/>
      <c r="I91" s="294"/>
      <c r="J91" s="294"/>
      <c r="K91" s="294"/>
      <c r="L91" s="294"/>
      <c r="M91" s="294" t="s">
        <v>473</v>
      </c>
      <c r="N91" s="294"/>
      <c r="O91" s="294"/>
      <c r="P91" s="294"/>
      <c r="Q91" s="290"/>
      <c r="R91" s="324"/>
      <c r="S91" s="292"/>
      <c r="T91" s="292"/>
      <c r="U91" s="292"/>
    </row>
    <row r="92" spans="1:21" ht="15.6">
      <c r="A92" s="1" t="s">
        <v>610</v>
      </c>
      <c r="B92" s="293" t="s">
        <v>611</v>
      </c>
      <c r="C92" s="42">
        <v>3</v>
      </c>
      <c r="D92" s="294"/>
      <c r="E92" s="294"/>
      <c r="F92" s="294"/>
      <c r="G92" s="294"/>
      <c r="H92" s="294"/>
      <c r="I92" s="294"/>
      <c r="J92" s="294"/>
      <c r="K92" s="294" t="s">
        <v>473</v>
      </c>
      <c r="L92" s="294"/>
      <c r="M92" s="294" t="s">
        <v>473</v>
      </c>
      <c r="N92" s="294"/>
      <c r="O92" s="294"/>
      <c r="P92" s="294"/>
      <c r="Q92" s="290"/>
      <c r="R92" s="324"/>
      <c r="S92" s="292"/>
      <c r="T92" s="292"/>
      <c r="U92" s="292"/>
    </row>
    <row r="93" spans="1:21" ht="15.6">
      <c r="A93" s="1" t="s">
        <v>612</v>
      </c>
      <c r="B93" s="293" t="s">
        <v>613</v>
      </c>
      <c r="C93" s="42">
        <v>2</v>
      </c>
      <c r="D93" s="294"/>
      <c r="E93" s="294"/>
      <c r="F93" s="294"/>
      <c r="G93" s="294" t="s">
        <v>473</v>
      </c>
      <c r="H93" s="294"/>
      <c r="I93" s="294"/>
      <c r="J93" s="294"/>
      <c r="K93" s="294"/>
      <c r="L93" s="294"/>
      <c r="M93" s="294"/>
      <c r="N93" s="294"/>
      <c r="O93" s="294"/>
      <c r="P93" s="294"/>
      <c r="Q93" s="290"/>
      <c r="R93" s="324"/>
      <c r="S93" s="292"/>
      <c r="T93" s="292"/>
      <c r="U93" s="292"/>
    </row>
    <row r="94" spans="1:21" ht="15.6">
      <c r="A94" s="1" t="s">
        <v>614</v>
      </c>
      <c r="B94" s="293" t="s">
        <v>615</v>
      </c>
      <c r="C94" s="42">
        <v>2</v>
      </c>
      <c r="D94" s="294"/>
      <c r="E94" s="294"/>
      <c r="F94" s="294"/>
      <c r="G94" s="294" t="s">
        <v>473</v>
      </c>
      <c r="H94" s="294"/>
      <c r="I94" s="294"/>
      <c r="J94" s="294"/>
      <c r="K94" s="294"/>
      <c r="L94" s="294"/>
      <c r="M94" s="294"/>
      <c r="N94" s="294"/>
      <c r="O94" s="294"/>
      <c r="P94" s="294"/>
      <c r="Q94" s="290"/>
      <c r="R94" s="324"/>
      <c r="S94" s="292"/>
      <c r="T94" s="292"/>
      <c r="U94" s="292"/>
    </row>
    <row r="95" spans="1:21" ht="15.6">
      <c r="A95" s="1" t="s">
        <v>616</v>
      </c>
      <c r="B95" s="293" t="s">
        <v>617</v>
      </c>
      <c r="C95" s="42">
        <v>2</v>
      </c>
      <c r="D95" s="294"/>
      <c r="E95" s="294"/>
      <c r="F95" s="294"/>
      <c r="G95" s="294" t="s">
        <v>473</v>
      </c>
      <c r="H95" s="294"/>
      <c r="I95" s="294"/>
      <c r="J95" s="294"/>
      <c r="K95" s="294"/>
      <c r="L95" s="294"/>
      <c r="M95" s="294"/>
      <c r="N95" s="294"/>
      <c r="O95" s="294"/>
      <c r="P95" s="294"/>
      <c r="Q95" s="290"/>
      <c r="R95" s="324"/>
      <c r="S95" s="292"/>
      <c r="T95" s="292"/>
      <c r="U95" s="292"/>
    </row>
    <row r="96" spans="1:21" ht="15.6">
      <c r="A96" s="1" t="s">
        <v>618</v>
      </c>
      <c r="B96" s="293" t="s">
        <v>619</v>
      </c>
      <c r="C96" s="42">
        <v>2</v>
      </c>
      <c r="D96" s="294"/>
      <c r="E96" s="294"/>
      <c r="F96" s="294"/>
      <c r="G96" s="294" t="s">
        <v>473</v>
      </c>
      <c r="H96" s="294"/>
      <c r="I96" s="294"/>
      <c r="J96" s="294"/>
      <c r="K96" s="294"/>
      <c r="L96" s="294"/>
      <c r="M96" s="294"/>
      <c r="N96" s="294"/>
      <c r="O96" s="294"/>
      <c r="P96" s="294"/>
      <c r="Q96" s="290"/>
      <c r="R96" s="324"/>
      <c r="S96" s="292"/>
      <c r="T96" s="292"/>
      <c r="U96" s="292"/>
    </row>
    <row r="97" spans="1:21" ht="15.6">
      <c r="A97" s="1" t="s">
        <v>620</v>
      </c>
      <c r="B97" s="293" t="s">
        <v>176</v>
      </c>
      <c r="C97" s="42">
        <v>3</v>
      </c>
      <c r="D97" s="294"/>
      <c r="E97" s="294"/>
      <c r="F97" s="294"/>
      <c r="G97" s="294" t="s">
        <v>473</v>
      </c>
      <c r="H97" s="294"/>
      <c r="I97" s="294"/>
      <c r="J97" s="294"/>
      <c r="K97" s="294"/>
      <c r="L97" s="294"/>
      <c r="M97" s="294" t="s">
        <v>473</v>
      </c>
      <c r="N97" s="294"/>
      <c r="O97" s="294"/>
      <c r="P97" s="294"/>
      <c r="Q97" s="290"/>
      <c r="R97" s="324"/>
      <c r="S97" s="292"/>
      <c r="T97" s="292"/>
      <c r="U97" s="292"/>
    </row>
    <row r="98" spans="1:21" ht="15.6">
      <c r="A98" s="1" t="s">
        <v>621</v>
      </c>
      <c r="B98" s="293" t="s">
        <v>173</v>
      </c>
      <c r="C98" s="42">
        <v>3</v>
      </c>
      <c r="D98" s="294"/>
      <c r="E98" s="294"/>
      <c r="F98" s="294"/>
      <c r="G98" s="294" t="s">
        <v>473</v>
      </c>
      <c r="H98" s="294"/>
      <c r="I98" s="294"/>
      <c r="J98" s="294"/>
      <c r="K98" s="294"/>
      <c r="L98" s="294"/>
      <c r="M98" s="294" t="s">
        <v>473</v>
      </c>
      <c r="N98" s="294"/>
      <c r="O98" s="294"/>
      <c r="P98" s="294"/>
      <c r="Q98" s="290"/>
      <c r="R98" s="324"/>
      <c r="S98" s="292"/>
      <c r="T98" s="292"/>
      <c r="U98" s="292"/>
    </row>
    <row r="99" spans="1:21" ht="15.6">
      <c r="R99" s="324"/>
      <c r="S99" s="292"/>
      <c r="T99" s="292"/>
      <c r="U99" s="292"/>
    </row>
    <row r="100" spans="1:21">
      <c r="Q100"/>
    </row>
    <row r="101" spans="1:21">
      <c r="Q101"/>
    </row>
    <row r="102" spans="1:21">
      <c r="Q102"/>
    </row>
    <row r="103" spans="1:21">
      <c r="Q103"/>
    </row>
  </sheetData>
  <mergeCells count="2">
    <mergeCell ref="A1:P1"/>
    <mergeCell ref="R1:S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8:L131"/>
  <sheetViews>
    <sheetView topLeftCell="A107" workbookViewId="0">
      <selection activeCell="H121" sqref="H121:I136"/>
    </sheetView>
  </sheetViews>
  <sheetFormatPr defaultRowHeight="12.6"/>
  <cols>
    <col min="1" max="1" width="48.140625" bestFit="1" customWidth="1"/>
    <col min="2" max="2" width="12.5703125" customWidth="1"/>
    <col min="3" max="3" width="13.5703125" customWidth="1"/>
    <col min="4" max="4" width="14.140625" customWidth="1"/>
    <col min="5" max="5" width="53.42578125" customWidth="1"/>
    <col min="6" max="6" width="12" customWidth="1"/>
    <col min="7" max="7" width="13.85546875" customWidth="1"/>
    <col min="8" max="8" width="14.140625" bestFit="1" customWidth="1"/>
    <col min="9" max="9" width="57" bestFit="1" customWidth="1"/>
    <col min="10" max="10" width="10.5703125" bestFit="1" customWidth="1"/>
  </cols>
  <sheetData>
    <row r="8" spans="1:12" ht="23.1">
      <c r="A8" s="597" t="s">
        <v>0</v>
      </c>
      <c r="B8" s="597"/>
      <c r="C8" s="597"/>
      <c r="D8" s="597"/>
      <c r="E8" s="597"/>
      <c r="F8" s="597"/>
      <c r="G8" s="597"/>
      <c r="H8" s="597"/>
      <c r="I8" s="597"/>
      <c r="J8" s="597"/>
      <c r="K8" s="597"/>
      <c r="L8" s="597"/>
    </row>
    <row r="9" spans="1:12" ht="20.100000000000001">
      <c r="A9" s="685" t="s">
        <v>423</v>
      </c>
      <c r="B9" s="685"/>
      <c r="C9" s="685"/>
      <c r="D9" s="685"/>
      <c r="E9" s="685"/>
      <c r="F9" s="685"/>
      <c r="G9" s="685"/>
      <c r="H9" s="685"/>
      <c r="I9" s="685"/>
      <c r="J9" s="685"/>
      <c r="K9" s="685"/>
      <c r="L9" s="685"/>
    </row>
    <row r="10" spans="1:12" ht="23.1">
      <c r="A10" s="40"/>
      <c r="B10" s="40"/>
      <c r="C10" s="40"/>
      <c r="D10" s="40"/>
      <c r="E10" s="40"/>
      <c r="F10" s="40"/>
      <c r="G10" s="40"/>
      <c r="H10" s="40"/>
    </row>
    <row r="12" spans="1:12" ht="18.600000000000001" thickBot="1">
      <c r="A12" s="683" t="s">
        <v>622</v>
      </c>
      <c r="B12" s="684"/>
      <c r="C12" s="684"/>
      <c r="D12" s="684"/>
      <c r="E12" s="684"/>
      <c r="F12" s="684"/>
      <c r="G12" s="684"/>
      <c r="H12" s="684"/>
      <c r="I12" s="684"/>
      <c r="J12" s="684"/>
      <c r="K12" s="684"/>
      <c r="L12" s="684"/>
    </row>
    <row r="13" spans="1:12" ht="15.75" customHeight="1">
      <c r="A13" s="696" t="s">
        <v>623</v>
      </c>
      <c r="B13" s="697"/>
      <c r="C13" s="697"/>
      <c r="D13" s="698"/>
      <c r="E13" s="680" t="s">
        <v>624</v>
      </c>
      <c r="F13" s="681"/>
      <c r="G13" s="681"/>
      <c r="H13" s="682"/>
      <c r="I13" s="680" t="s">
        <v>625</v>
      </c>
      <c r="J13" s="681"/>
      <c r="K13" s="681"/>
      <c r="L13" s="682"/>
    </row>
    <row r="14" spans="1:12" ht="15.6">
      <c r="A14" s="686" t="s">
        <v>626</v>
      </c>
      <c r="B14" s="688" t="s">
        <v>627</v>
      </c>
      <c r="C14" s="688"/>
      <c r="D14" s="689" t="s">
        <v>628</v>
      </c>
      <c r="E14" s="691" t="s">
        <v>626</v>
      </c>
      <c r="F14" s="693" t="s">
        <v>627</v>
      </c>
      <c r="G14" s="693"/>
      <c r="H14" s="694" t="s">
        <v>629</v>
      </c>
      <c r="I14" s="691" t="s">
        <v>626</v>
      </c>
      <c r="J14" s="693" t="s">
        <v>627</v>
      </c>
      <c r="K14" s="693"/>
      <c r="L14" s="694" t="s">
        <v>629</v>
      </c>
    </row>
    <row r="15" spans="1:12" ht="15.95" thickBot="1">
      <c r="A15" s="687"/>
      <c r="B15" s="4" t="s">
        <v>630</v>
      </c>
      <c r="C15" s="4" t="s">
        <v>631</v>
      </c>
      <c r="D15" s="690"/>
      <c r="E15" s="692"/>
      <c r="F15" s="24" t="s">
        <v>630</v>
      </c>
      <c r="G15" s="24" t="s">
        <v>631</v>
      </c>
      <c r="H15" s="695"/>
      <c r="I15" s="692"/>
      <c r="J15" s="24" t="s">
        <v>630</v>
      </c>
      <c r="K15" s="24" t="s">
        <v>631</v>
      </c>
      <c r="L15" s="695"/>
    </row>
    <row r="16" spans="1:12" ht="15.6">
      <c r="A16" s="6"/>
      <c r="B16" s="7"/>
      <c r="C16" s="7"/>
      <c r="D16" s="59"/>
      <c r="E16" s="6"/>
      <c r="F16" s="7"/>
      <c r="G16" s="7"/>
      <c r="H16" s="26"/>
      <c r="I16" s="6"/>
      <c r="J16" s="7"/>
      <c r="K16" s="7"/>
      <c r="L16" s="26"/>
    </row>
    <row r="17" spans="1:12" ht="12.95">
      <c r="A17" s="8" t="s">
        <v>82</v>
      </c>
      <c r="B17" s="5"/>
      <c r="C17" s="5"/>
      <c r="D17" s="60"/>
      <c r="E17" s="41" t="s">
        <v>82</v>
      </c>
      <c r="F17" s="25"/>
      <c r="G17" s="25"/>
      <c r="H17" s="27"/>
      <c r="I17" s="41" t="s">
        <v>82</v>
      </c>
      <c r="J17" s="25"/>
      <c r="K17" s="25"/>
      <c r="L17" s="27"/>
    </row>
    <row r="18" spans="1:12" ht="12.95">
      <c r="A18" s="9" t="s">
        <v>83</v>
      </c>
      <c r="B18" s="1"/>
      <c r="C18" s="1"/>
      <c r="D18" s="2"/>
      <c r="E18" s="9" t="s">
        <v>83</v>
      </c>
      <c r="F18" s="3"/>
      <c r="G18" s="3"/>
      <c r="H18" s="30"/>
      <c r="I18" s="9" t="s">
        <v>83</v>
      </c>
      <c r="J18" s="3"/>
      <c r="K18" s="3"/>
      <c r="L18" s="30"/>
    </row>
    <row r="19" spans="1:12">
      <c r="A19" s="10" t="s">
        <v>154</v>
      </c>
      <c r="B19" s="3">
        <v>3</v>
      </c>
      <c r="C19" s="3">
        <v>0</v>
      </c>
      <c r="D19" s="30">
        <v>3</v>
      </c>
      <c r="E19" s="49" t="s">
        <v>154</v>
      </c>
      <c r="F19" s="3">
        <v>3</v>
      </c>
      <c r="G19" s="3">
        <v>0</v>
      </c>
      <c r="H19" s="30">
        <v>3</v>
      </c>
      <c r="I19" s="49" t="s">
        <v>154</v>
      </c>
      <c r="J19" s="3">
        <v>3</v>
      </c>
      <c r="K19" s="3">
        <v>0</v>
      </c>
      <c r="L19" s="30">
        <v>3</v>
      </c>
    </row>
    <row r="20" spans="1:12">
      <c r="A20" s="10" t="s">
        <v>155</v>
      </c>
      <c r="B20" s="3">
        <v>3</v>
      </c>
      <c r="C20" s="3">
        <v>0</v>
      </c>
      <c r="D20" s="30">
        <v>3</v>
      </c>
      <c r="E20" s="49" t="s">
        <v>155</v>
      </c>
      <c r="F20" s="3">
        <v>3</v>
      </c>
      <c r="G20" s="3">
        <v>0</v>
      </c>
      <c r="H20" s="30">
        <v>3</v>
      </c>
      <c r="I20" s="49" t="s">
        <v>155</v>
      </c>
      <c r="J20" s="3">
        <v>3</v>
      </c>
      <c r="K20" s="3">
        <v>0</v>
      </c>
      <c r="L20" s="30">
        <v>3</v>
      </c>
    </row>
    <row r="21" spans="1:12">
      <c r="A21" s="10" t="s">
        <v>156</v>
      </c>
      <c r="B21" s="3">
        <v>3</v>
      </c>
      <c r="C21" s="3">
        <v>0</v>
      </c>
      <c r="D21" s="30">
        <v>3</v>
      </c>
      <c r="E21" s="49" t="s">
        <v>156</v>
      </c>
      <c r="F21" s="3">
        <v>3</v>
      </c>
      <c r="G21" s="3">
        <v>0</v>
      </c>
      <c r="H21" s="30">
        <v>3</v>
      </c>
      <c r="I21" s="49" t="s">
        <v>156</v>
      </c>
      <c r="J21" s="3">
        <v>3</v>
      </c>
      <c r="K21" s="3">
        <v>0</v>
      </c>
      <c r="L21" s="30">
        <v>3</v>
      </c>
    </row>
    <row r="22" spans="1:12">
      <c r="A22" s="10" t="s">
        <v>178</v>
      </c>
      <c r="B22" s="3">
        <v>3</v>
      </c>
      <c r="C22" s="3">
        <v>0</v>
      </c>
      <c r="D22" s="30">
        <v>3</v>
      </c>
      <c r="E22" s="49" t="s">
        <v>178</v>
      </c>
      <c r="F22" s="3">
        <v>3</v>
      </c>
      <c r="G22" s="3">
        <v>0</v>
      </c>
      <c r="H22" s="30">
        <v>3</v>
      </c>
      <c r="I22" s="49" t="s">
        <v>178</v>
      </c>
      <c r="J22" s="3">
        <v>3</v>
      </c>
      <c r="K22" s="3">
        <v>0</v>
      </c>
      <c r="L22" s="30">
        <v>3</v>
      </c>
    </row>
    <row r="23" spans="1:12" ht="12.95">
      <c r="A23" s="33" t="s">
        <v>632</v>
      </c>
      <c r="B23" s="34">
        <f>SUM(B18:B22)</f>
        <v>12</v>
      </c>
      <c r="C23" s="34">
        <f>SUM(C18:C22)</f>
        <v>0</v>
      </c>
      <c r="D23" s="34">
        <f>SUM(D18:D22)</f>
        <v>12</v>
      </c>
      <c r="E23" s="33" t="s">
        <v>632</v>
      </c>
      <c r="F23" s="34">
        <f>SUM(F19:F22)</f>
        <v>12</v>
      </c>
      <c r="G23" s="34">
        <f>SUM(G19:G22)</f>
        <v>0</v>
      </c>
      <c r="H23" s="38">
        <f>SUM(H19:H22)</f>
        <v>12</v>
      </c>
      <c r="I23" s="33" t="s">
        <v>632</v>
      </c>
      <c r="J23" s="34">
        <f>SUM(J19:J22)</f>
        <v>12</v>
      </c>
      <c r="K23" s="34">
        <f>SUM(K19:K22)</f>
        <v>0</v>
      </c>
      <c r="L23" s="38">
        <f>SUM(L19:L22)</f>
        <v>12</v>
      </c>
    </row>
    <row r="24" spans="1:12" ht="12.95">
      <c r="A24" s="12" t="s">
        <v>84</v>
      </c>
      <c r="B24" s="3"/>
      <c r="C24" s="3"/>
      <c r="D24" s="30"/>
      <c r="E24" s="12" t="s">
        <v>84</v>
      </c>
      <c r="F24" s="3"/>
      <c r="G24" s="3"/>
      <c r="H24" s="30"/>
      <c r="I24" s="12" t="s">
        <v>84</v>
      </c>
      <c r="J24" s="3"/>
      <c r="K24" s="3"/>
      <c r="L24" s="30"/>
    </row>
    <row r="25" spans="1:12">
      <c r="A25" s="10" t="s">
        <v>252</v>
      </c>
      <c r="B25" s="3">
        <v>3</v>
      </c>
      <c r="C25" s="3">
        <v>3</v>
      </c>
      <c r="D25" s="30">
        <v>4</v>
      </c>
      <c r="E25" s="49" t="s">
        <v>252</v>
      </c>
      <c r="F25" s="3">
        <v>3</v>
      </c>
      <c r="G25" s="3">
        <v>3</v>
      </c>
      <c r="H25" s="30">
        <v>4</v>
      </c>
      <c r="I25" s="49" t="s">
        <v>252</v>
      </c>
      <c r="J25" s="3">
        <v>3</v>
      </c>
      <c r="K25" s="3">
        <v>3</v>
      </c>
      <c r="L25" s="30">
        <v>4</v>
      </c>
    </row>
    <row r="26" spans="1:12">
      <c r="A26" s="10" t="s">
        <v>258</v>
      </c>
      <c r="B26" s="3">
        <v>3</v>
      </c>
      <c r="C26" s="3">
        <v>3</v>
      </c>
      <c r="D26" s="30">
        <v>4</v>
      </c>
      <c r="E26" s="49" t="s">
        <v>258</v>
      </c>
      <c r="F26" s="3">
        <v>3</v>
      </c>
      <c r="G26" s="3">
        <v>3</v>
      </c>
      <c r="H26" s="30">
        <v>4</v>
      </c>
      <c r="I26" s="49" t="s">
        <v>258</v>
      </c>
      <c r="J26" s="3">
        <v>3</v>
      </c>
      <c r="K26" s="3">
        <v>3</v>
      </c>
      <c r="L26" s="30">
        <v>4</v>
      </c>
    </row>
    <row r="27" spans="1:12" ht="12.95">
      <c r="A27" s="33" t="s">
        <v>632</v>
      </c>
      <c r="B27" s="34">
        <f>SUM(B25:B26)</f>
        <v>6</v>
      </c>
      <c r="C27" s="34">
        <f>SUM(C25:C26)</f>
        <v>6</v>
      </c>
      <c r="D27" s="38">
        <f>SUM(D25:D26)</f>
        <v>8</v>
      </c>
      <c r="E27" s="33" t="s">
        <v>632</v>
      </c>
      <c r="F27" s="34">
        <f>SUM(F25:F26)</f>
        <v>6</v>
      </c>
      <c r="G27" s="34">
        <f>SUM(G25:G26)</f>
        <v>6</v>
      </c>
      <c r="H27" s="38">
        <f>SUM(H25:H26)</f>
        <v>8</v>
      </c>
      <c r="I27" s="33" t="s">
        <v>632</v>
      </c>
      <c r="J27" s="34">
        <f>SUM(J25:J26)</f>
        <v>6</v>
      </c>
      <c r="K27" s="34">
        <f>SUM(K25:K26)</f>
        <v>6</v>
      </c>
      <c r="L27" s="38">
        <f>SUM(L25:L26)</f>
        <v>8</v>
      </c>
    </row>
    <row r="28" spans="1:12" ht="12.95">
      <c r="A28" s="13" t="s">
        <v>85</v>
      </c>
      <c r="B28" s="3"/>
      <c r="C28" s="3"/>
      <c r="D28" s="30"/>
      <c r="E28" s="13" t="s">
        <v>85</v>
      </c>
      <c r="F28" s="3"/>
      <c r="G28" s="3"/>
      <c r="H28" s="30"/>
      <c r="I28" s="13" t="s">
        <v>85</v>
      </c>
      <c r="J28" s="3"/>
      <c r="K28" s="3"/>
      <c r="L28" s="30"/>
    </row>
    <row r="29" spans="1:12">
      <c r="A29" s="10" t="s">
        <v>511</v>
      </c>
      <c r="B29" s="3">
        <v>0</v>
      </c>
      <c r="C29" s="3">
        <v>3</v>
      </c>
      <c r="D29" s="30">
        <v>1</v>
      </c>
      <c r="E29" s="49" t="s">
        <v>511</v>
      </c>
      <c r="F29" s="3">
        <v>0</v>
      </c>
      <c r="G29" s="3">
        <v>3</v>
      </c>
      <c r="H29" s="30">
        <v>1</v>
      </c>
      <c r="I29" s="49" t="s">
        <v>511</v>
      </c>
      <c r="J29" s="3">
        <v>0</v>
      </c>
      <c r="K29" s="3">
        <v>3</v>
      </c>
      <c r="L29" s="30">
        <v>1</v>
      </c>
    </row>
    <row r="30" spans="1:12">
      <c r="A30" s="10" t="s">
        <v>163</v>
      </c>
      <c r="B30" s="3">
        <v>3</v>
      </c>
      <c r="C30" s="3">
        <v>0</v>
      </c>
      <c r="D30" s="30">
        <v>3</v>
      </c>
      <c r="E30" s="49" t="s">
        <v>163</v>
      </c>
      <c r="F30" s="3">
        <v>3</v>
      </c>
      <c r="G30" s="3">
        <v>0</v>
      </c>
      <c r="H30" s="30">
        <v>3</v>
      </c>
      <c r="I30" s="49" t="s">
        <v>163</v>
      </c>
      <c r="J30" s="3">
        <v>3</v>
      </c>
      <c r="K30" s="3">
        <v>0</v>
      </c>
      <c r="L30" s="30">
        <v>3</v>
      </c>
    </row>
    <row r="31" spans="1:12">
      <c r="A31" s="10" t="s">
        <v>267</v>
      </c>
      <c r="B31" s="3">
        <v>3</v>
      </c>
      <c r="C31" s="3">
        <v>0</v>
      </c>
      <c r="D31" s="30">
        <v>3</v>
      </c>
      <c r="E31" s="10" t="s">
        <v>267</v>
      </c>
      <c r="F31" s="3">
        <v>3</v>
      </c>
      <c r="G31" s="3">
        <v>0</v>
      </c>
      <c r="H31" s="30">
        <v>3</v>
      </c>
      <c r="I31" s="10" t="s">
        <v>267</v>
      </c>
      <c r="J31" s="3">
        <v>3</v>
      </c>
      <c r="K31" s="3">
        <v>0</v>
      </c>
      <c r="L31" s="30">
        <v>3</v>
      </c>
    </row>
    <row r="32" spans="1:12">
      <c r="A32" s="10"/>
      <c r="B32" s="3"/>
      <c r="C32" s="3"/>
      <c r="D32" s="30"/>
      <c r="E32" s="10" t="s">
        <v>633</v>
      </c>
      <c r="F32" s="3">
        <v>3</v>
      </c>
      <c r="G32" s="3">
        <v>0</v>
      </c>
      <c r="H32" s="30">
        <v>3</v>
      </c>
      <c r="I32" s="10"/>
      <c r="J32" s="3"/>
      <c r="K32" s="3"/>
      <c r="L32" s="30"/>
    </row>
    <row r="33" spans="1:12" ht="12.95">
      <c r="A33" s="11" t="s">
        <v>632</v>
      </c>
      <c r="B33" s="34">
        <f>SUM(B29:B31)</f>
        <v>6</v>
      </c>
      <c r="C33" s="34">
        <f>SUM(C29:C31)</f>
        <v>3</v>
      </c>
      <c r="D33" s="38">
        <f>SUM(D29:D31)</f>
        <v>7</v>
      </c>
      <c r="E33" s="33" t="s">
        <v>632</v>
      </c>
      <c r="F33" s="34">
        <f>SUM(F29:F32)</f>
        <v>9</v>
      </c>
      <c r="G33" s="34">
        <f>SUM(G29:G32)</f>
        <v>3</v>
      </c>
      <c r="H33" s="38">
        <f>SUM(H29:H32)</f>
        <v>10</v>
      </c>
      <c r="I33" s="33" t="s">
        <v>632</v>
      </c>
      <c r="J33" s="34">
        <f>SUM(J29:J32)</f>
        <v>6</v>
      </c>
      <c r="K33" s="34">
        <f>SUM(K29:K32)</f>
        <v>3</v>
      </c>
      <c r="L33" s="38">
        <f>SUM(L29:L32)</f>
        <v>7</v>
      </c>
    </row>
    <row r="34" spans="1:12" ht="12.95">
      <c r="A34" s="14" t="s">
        <v>86</v>
      </c>
      <c r="B34" s="3"/>
      <c r="C34" s="3"/>
      <c r="D34" s="30"/>
      <c r="E34" s="14" t="s">
        <v>86</v>
      </c>
      <c r="F34" s="3"/>
      <c r="G34" s="3"/>
      <c r="H34" s="30"/>
      <c r="I34" s="14" t="s">
        <v>86</v>
      </c>
      <c r="J34" s="3"/>
      <c r="K34" s="3"/>
      <c r="L34" s="30"/>
    </row>
    <row r="35" spans="1:12">
      <c r="A35" s="10" t="s">
        <v>634</v>
      </c>
      <c r="B35" s="3">
        <v>3</v>
      </c>
      <c r="C35" s="3">
        <v>3</v>
      </c>
      <c r="D35" s="30">
        <v>4</v>
      </c>
      <c r="E35" s="10" t="s">
        <v>634</v>
      </c>
      <c r="F35" s="3">
        <v>3</v>
      </c>
      <c r="G35" s="3">
        <v>3</v>
      </c>
      <c r="H35" s="30">
        <v>4</v>
      </c>
      <c r="I35" s="10" t="s">
        <v>634</v>
      </c>
      <c r="J35" s="3">
        <v>3</v>
      </c>
      <c r="K35" s="3">
        <v>3</v>
      </c>
      <c r="L35" s="30">
        <v>4</v>
      </c>
    </row>
    <row r="36" spans="1:12">
      <c r="A36" s="10" t="s">
        <v>281</v>
      </c>
      <c r="B36" s="3">
        <v>3</v>
      </c>
      <c r="C36" s="3">
        <v>3</v>
      </c>
      <c r="D36" s="30">
        <v>4</v>
      </c>
      <c r="E36" s="10" t="s">
        <v>281</v>
      </c>
      <c r="F36" s="3">
        <v>3</v>
      </c>
      <c r="G36" s="3">
        <v>3</v>
      </c>
      <c r="H36" s="30">
        <v>4</v>
      </c>
      <c r="I36" s="10" t="s">
        <v>281</v>
      </c>
      <c r="J36" s="3">
        <v>3</v>
      </c>
      <c r="K36" s="3">
        <v>3</v>
      </c>
      <c r="L36" s="30">
        <v>4</v>
      </c>
    </row>
    <row r="37" spans="1:12">
      <c r="A37" s="10"/>
      <c r="B37" s="3"/>
      <c r="C37" s="3"/>
      <c r="D37" s="30"/>
      <c r="E37" s="49"/>
      <c r="F37" s="3"/>
      <c r="G37" s="3"/>
      <c r="H37" s="30"/>
      <c r="I37" s="49"/>
      <c r="J37" s="3"/>
      <c r="K37" s="3"/>
      <c r="L37" s="30"/>
    </row>
    <row r="38" spans="1:12" ht="12.95">
      <c r="A38" s="11" t="s">
        <v>632</v>
      </c>
      <c r="B38" s="34">
        <f>SUM(B35:B37)</f>
        <v>6</v>
      </c>
      <c r="C38" s="34">
        <f>SUM(C35:C37)</f>
        <v>6</v>
      </c>
      <c r="D38" s="38">
        <f>SUM(D35:D37)</f>
        <v>8</v>
      </c>
      <c r="E38" s="33" t="s">
        <v>632</v>
      </c>
      <c r="F38" s="34">
        <f>SUM(F35:F37)</f>
        <v>6</v>
      </c>
      <c r="G38" s="34">
        <f>SUM(G35:G37)</f>
        <v>6</v>
      </c>
      <c r="H38" s="38">
        <f>SUM(H35:H37)</f>
        <v>8</v>
      </c>
      <c r="I38" s="33" t="s">
        <v>632</v>
      </c>
      <c r="J38" s="34">
        <f>SUM(J35:J37)</f>
        <v>6</v>
      </c>
      <c r="K38" s="34">
        <f>SUM(K35:K37)</f>
        <v>6</v>
      </c>
      <c r="L38" s="38">
        <f>SUM(L35:L37)</f>
        <v>8</v>
      </c>
    </row>
    <row r="39" spans="1:12" ht="12.95">
      <c r="A39" s="15" t="s">
        <v>447</v>
      </c>
      <c r="B39" s="3"/>
      <c r="C39" s="3"/>
      <c r="D39" s="30"/>
      <c r="E39" s="15" t="s">
        <v>447</v>
      </c>
      <c r="F39" s="3"/>
      <c r="G39" s="3"/>
      <c r="H39" s="30"/>
      <c r="I39" s="15" t="s">
        <v>447</v>
      </c>
      <c r="J39" s="3"/>
      <c r="K39" s="3"/>
      <c r="L39" s="30"/>
    </row>
    <row r="40" spans="1:12" ht="12.95">
      <c r="A40" s="16" t="s">
        <v>635</v>
      </c>
      <c r="B40" s="3"/>
      <c r="C40" s="3"/>
      <c r="D40" s="30"/>
      <c r="E40" s="16" t="s">
        <v>635</v>
      </c>
      <c r="F40" s="3"/>
      <c r="G40" s="3"/>
      <c r="H40" s="30"/>
      <c r="I40" s="16" t="s">
        <v>635</v>
      </c>
      <c r="J40" s="3"/>
      <c r="K40" s="3"/>
      <c r="L40" s="30"/>
    </row>
    <row r="41" spans="1:12">
      <c r="A41" s="10" t="s">
        <v>174</v>
      </c>
      <c r="B41" s="3">
        <v>3</v>
      </c>
      <c r="C41" s="3">
        <v>0</v>
      </c>
      <c r="D41" s="30">
        <v>3</v>
      </c>
      <c r="E41" s="10" t="s">
        <v>174</v>
      </c>
      <c r="F41" s="3">
        <v>3</v>
      </c>
      <c r="G41" s="3">
        <v>0</v>
      </c>
      <c r="H41" s="30">
        <v>3</v>
      </c>
      <c r="I41" s="10" t="s">
        <v>174</v>
      </c>
      <c r="J41" s="3">
        <v>3</v>
      </c>
      <c r="K41" s="3">
        <v>0</v>
      </c>
      <c r="L41" s="30">
        <v>3</v>
      </c>
    </row>
    <row r="42" spans="1:12">
      <c r="A42" s="10" t="s">
        <v>179</v>
      </c>
      <c r="B42" s="3">
        <v>3</v>
      </c>
      <c r="C42" s="3">
        <v>0</v>
      </c>
      <c r="D42" s="30">
        <v>3</v>
      </c>
      <c r="E42" s="10" t="s">
        <v>179</v>
      </c>
      <c r="F42" s="3">
        <v>3</v>
      </c>
      <c r="G42" s="3">
        <v>0</v>
      </c>
      <c r="H42" s="30">
        <v>3</v>
      </c>
      <c r="I42" s="10" t="s">
        <v>179</v>
      </c>
      <c r="J42" s="3">
        <v>3</v>
      </c>
      <c r="K42" s="3">
        <v>0</v>
      </c>
      <c r="L42" s="30">
        <v>3</v>
      </c>
    </row>
    <row r="43" spans="1:12">
      <c r="A43" s="10" t="s">
        <v>161</v>
      </c>
      <c r="B43" s="3">
        <v>1</v>
      </c>
      <c r="C43" s="3">
        <v>0</v>
      </c>
      <c r="D43" s="30">
        <v>1</v>
      </c>
      <c r="E43" s="10" t="s">
        <v>161</v>
      </c>
      <c r="F43" s="3">
        <v>1</v>
      </c>
      <c r="G43" s="3">
        <v>0</v>
      </c>
      <c r="H43" s="30">
        <v>1</v>
      </c>
      <c r="I43" s="10" t="s">
        <v>161</v>
      </c>
      <c r="J43" s="3">
        <v>1</v>
      </c>
      <c r="K43" s="3">
        <v>0</v>
      </c>
      <c r="L43" s="30">
        <v>1</v>
      </c>
    </row>
    <row r="44" spans="1:12">
      <c r="A44" s="10" t="s">
        <v>187</v>
      </c>
      <c r="B44" s="3">
        <v>3</v>
      </c>
      <c r="C44" s="3">
        <v>0</v>
      </c>
      <c r="D44" s="30">
        <v>3</v>
      </c>
      <c r="E44" s="10" t="s">
        <v>187</v>
      </c>
      <c r="F44" s="3">
        <v>3</v>
      </c>
      <c r="G44" s="3">
        <v>0</v>
      </c>
      <c r="H44" s="30">
        <v>3</v>
      </c>
      <c r="I44" s="10" t="s">
        <v>187</v>
      </c>
      <c r="J44" s="3">
        <v>3</v>
      </c>
      <c r="K44" s="3">
        <v>0</v>
      </c>
      <c r="L44" s="30">
        <v>3</v>
      </c>
    </row>
    <row r="45" spans="1:12">
      <c r="A45" s="10" t="s">
        <v>184</v>
      </c>
      <c r="B45" s="3">
        <v>0</v>
      </c>
      <c r="C45" s="3">
        <v>3</v>
      </c>
      <c r="D45" s="30">
        <v>1</v>
      </c>
      <c r="E45" s="10" t="s">
        <v>184</v>
      </c>
      <c r="F45" s="3">
        <v>0</v>
      </c>
      <c r="G45" s="3">
        <v>3</v>
      </c>
      <c r="H45" s="30">
        <v>1</v>
      </c>
      <c r="I45" s="10" t="s">
        <v>184</v>
      </c>
      <c r="J45" s="3">
        <v>0</v>
      </c>
      <c r="K45" s="3">
        <v>3</v>
      </c>
      <c r="L45" s="30">
        <v>1</v>
      </c>
    </row>
    <row r="46" spans="1:12">
      <c r="A46" s="10" t="s">
        <v>165</v>
      </c>
      <c r="B46" s="3">
        <v>0</v>
      </c>
      <c r="C46" s="3">
        <v>6</v>
      </c>
      <c r="D46" s="30">
        <v>2</v>
      </c>
      <c r="E46" s="10" t="s">
        <v>165</v>
      </c>
      <c r="F46" s="3">
        <v>0</v>
      </c>
      <c r="G46" s="3">
        <v>6</v>
      </c>
      <c r="H46" s="30">
        <v>2</v>
      </c>
      <c r="I46" s="10" t="s">
        <v>165</v>
      </c>
      <c r="J46" s="3">
        <v>0</v>
      </c>
      <c r="K46" s="3">
        <v>6</v>
      </c>
      <c r="L46" s="30">
        <v>2</v>
      </c>
    </row>
    <row r="47" spans="1:12">
      <c r="A47" s="10" t="s">
        <v>167</v>
      </c>
      <c r="B47" s="3">
        <v>0</v>
      </c>
      <c r="C47" s="3">
        <v>6</v>
      </c>
      <c r="D47" s="30">
        <v>2</v>
      </c>
      <c r="E47" s="10" t="s">
        <v>167</v>
      </c>
      <c r="F47" s="3">
        <v>0</v>
      </c>
      <c r="G47" s="3">
        <v>6</v>
      </c>
      <c r="H47" s="30">
        <v>2</v>
      </c>
      <c r="I47" s="10" t="s">
        <v>167</v>
      </c>
      <c r="J47" s="3">
        <v>0</v>
      </c>
      <c r="K47" s="3">
        <v>6</v>
      </c>
      <c r="L47" s="30">
        <v>2</v>
      </c>
    </row>
    <row r="48" spans="1:12">
      <c r="A48" s="10" t="s">
        <v>162</v>
      </c>
      <c r="B48" s="3">
        <v>0</v>
      </c>
      <c r="C48" s="3">
        <v>6</v>
      </c>
      <c r="D48" s="30">
        <v>2</v>
      </c>
      <c r="E48" s="10" t="s">
        <v>162</v>
      </c>
      <c r="F48" s="3">
        <v>0</v>
      </c>
      <c r="G48" s="3">
        <v>6</v>
      </c>
      <c r="H48" s="30">
        <v>2</v>
      </c>
      <c r="I48" s="10" t="s">
        <v>162</v>
      </c>
      <c r="J48" s="3">
        <v>0</v>
      </c>
      <c r="K48" s="3">
        <v>6</v>
      </c>
      <c r="L48" s="30">
        <v>2</v>
      </c>
    </row>
    <row r="49" spans="1:12">
      <c r="A49" s="58" t="s">
        <v>299</v>
      </c>
      <c r="B49" s="3">
        <v>3</v>
      </c>
      <c r="C49" s="3">
        <v>3</v>
      </c>
      <c r="D49" s="30">
        <v>4</v>
      </c>
      <c r="E49" s="58" t="s">
        <v>299</v>
      </c>
      <c r="F49" s="3">
        <v>3</v>
      </c>
      <c r="G49" s="3">
        <v>3</v>
      </c>
      <c r="H49" s="30">
        <v>4</v>
      </c>
      <c r="I49" s="58" t="s">
        <v>299</v>
      </c>
      <c r="J49" s="3">
        <v>3</v>
      </c>
      <c r="K49" s="3">
        <v>3</v>
      </c>
      <c r="L49" s="30">
        <v>4</v>
      </c>
    </row>
    <row r="50" spans="1:12">
      <c r="A50" s="10" t="s">
        <v>305</v>
      </c>
      <c r="B50" s="3">
        <v>3</v>
      </c>
      <c r="C50" s="3">
        <v>3</v>
      </c>
      <c r="D50" s="30">
        <v>4</v>
      </c>
      <c r="E50" s="10" t="s">
        <v>305</v>
      </c>
      <c r="F50" s="3">
        <v>3</v>
      </c>
      <c r="G50" s="3">
        <v>3</v>
      </c>
      <c r="H50" s="30">
        <v>4</v>
      </c>
      <c r="I50" s="10" t="s">
        <v>305</v>
      </c>
      <c r="J50" s="3">
        <v>3</v>
      </c>
      <c r="K50" s="3">
        <v>3</v>
      </c>
      <c r="L50" s="30">
        <v>4</v>
      </c>
    </row>
    <row r="51" spans="1:12">
      <c r="A51" s="10" t="s">
        <v>311</v>
      </c>
      <c r="B51" s="3">
        <v>3</v>
      </c>
      <c r="C51" s="3">
        <v>3</v>
      </c>
      <c r="D51" s="30">
        <v>4</v>
      </c>
      <c r="E51" s="10" t="s">
        <v>311</v>
      </c>
      <c r="F51" s="3">
        <v>3</v>
      </c>
      <c r="G51" s="3">
        <v>3</v>
      </c>
      <c r="H51" s="30">
        <v>4</v>
      </c>
      <c r="I51" s="10" t="s">
        <v>311</v>
      </c>
      <c r="J51" s="3">
        <v>3</v>
      </c>
      <c r="K51" s="3">
        <v>3</v>
      </c>
      <c r="L51" s="30">
        <v>4</v>
      </c>
    </row>
    <row r="52" spans="1:12">
      <c r="A52" s="10" t="s">
        <v>316</v>
      </c>
      <c r="B52" s="3">
        <v>2</v>
      </c>
      <c r="C52" s="3">
        <v>0</v>
      </c>
      <c r="D52" s="30">
        <v>2</v>
      </c>
      <c r="E52" s="10" t="s">
        <v>316</v>
      </c>
      <c r="F52" s="3">
        <v>2</v>
      </c>
      <c r="G52" s="3">
        <v>0</v>
      </c>
      <c r="H52" s="30">
        <v>2</v>
      </c>
      <c r="I52" s="10" t="s">
        <v>316</v>
      </c>
      <c r="J52" s="3">
        <v>2</v>
      </c>
      <c r="K52" s="3">
        <v>0</v>
      </c>
      <c r="L52" s="30">
        <v>2</v>
      </c>
    </row>
    <row r="53" spans="1:12">
      <c r="A53" s="10" t="s">
        <v>188</v>
      </c>
      <c r="B53" s="42">
        <v>3</v>
      </c>
      <c r="C53" s="3">
        <v>0</v>
      </c>
      <c r="D53" s="30">
        <v>3</v>
      </c>
      <c r="E53" s="10" t="s">
        <v>188</v>
      </c>
      <c r="F53" s="42">
        <v>3</v>
      </c>
      <c r="G53" s="3">
        <v>0</v>
      </c>
      <c r="H53" s="30">
        <v>3</v>
      </c>
      <c r="I53" s="10" t="s">
        <v>188</v>
      </c>
      <c r="J53" s="42">
        <v>3</v>
      </c>
      <c r="K53" s="3">
        <v>0</v>
      </c>
      <c r="L53" s="30">
        <v>3</v>
      </c>
    </row>
    <row r="54" spans="1:12">
      <c r="A54" s="57" t="s">
        <v>321</v>
      </c>
      <c r="B54" s="3">
        <v>3</v>
      </c>
      <c r="C54" s="3">
        <v>3</v>
      </c>
      <c r="D54" s="30">
        <v>4</v>
      </c>
      <c r="E54" s="57" t="s">
        <v>321</v>
      </c>
      <c r="F54" s="3">
        <v>3</v>
      </c>
      <c r="G54" s="3">
        <v>3</v>
      </c>
      <c r="H54" s="30">
        <v>4</v>
      </c>
      <c r="I54" s="57" t="s">
        <v>321</v>
      </c>
      <c r="J54" s="3">
        <v>3</v>
      </c>
      <c r="K54" s="3">
        <v>3</v>
      </c>
      <c r="L54" s="30">
        <v>4</v>
      </c>
    </row>
    <row r="55" spans="1:12" ht="15" customHeight="1">
      <c r="A55" s="10" t="s">
        <v>205</v>
      </c>
      <c r="B55" s="3">
        <v>3</v>
      </c>
      <c r="C55" s="3">
        <v>0</v>
      </c>
      <c r="D55" s="30">
        <v>3</v>
      </c>
      <c r="E55" s="10" t="s">
        <v>205</v>
      </c>
      <c r="F55" s="3">
        <v>3</v>
      </c>
      <c r="G55" s="3">
        <v>0</v>
      </c>
      <c r="H55" s="30">
        <v>3</v>
      </c>
      <c r="I55" s="10" t="s">
        <v>205</v>
      </c>
      <c r="J55" s="3">
        <v>3</v>
      </c>
      <c r="K55" s="3">
        <v>0</v>
      </c>
      <c r="L55" s="30">
        <v>3</v>
      </c>
    </row>
    <row r="56" spans="1:12">
      <c r="A56" s="10" t="s">
        <v>328</v>
      </c>
      <c r="B56" s="3">
        <v>3</v>
      </c>
      <c r="C56" s="3">
        <v>3</v>
      </c>
      <c r="D56" s="30">
        <v>4</v>
      </c>
      <c r="E56" s="10" t="s">
        <v>328</v>
      </c>
      <c r="F56" s="3">
        <v>3</v>
      </c>
      <c r="G56" s="3">
        <v>3</v>
      </c>
      <c r="H56" s="30">
        <v>4</v>
      </c>
      <c r="I56" s="10" t="s">
        <v>328</v>
      </c>
      <c r="J56" s="3">
        <v>3</v>
      </c>
      <c r="K56" s="3">
        <v>3</v>
      </c>
      <c r="L56" s="30">
        <v>4</v>
      </c>
    </row>
    <row r="57" spans="1:12">
      <c r="A57" s="10" t="s">
        <v>334</v>
      </c>
      <c r="B57" s="3">
        <v>3</v>
      </c>
      <c r="C57" s="3">
        <v>3</v>
      </c>
      <c r="D57" s="30">
        <v>4</v>
      </c>
      <c r="E57" s="10" t="s">
        <v>334</v>
      </c>
      <c r="F57" s="3">
        <v>3</v>
      </c>
      <c r="G57" s="3">
        <v>3</v>
      </c>
      <c r="H57" s="30">
        <v>4</v>
      </c>
      <c r="I57" s="10" t="s">
        <v>334</v>
      </c>
      <c r="J57" s="3">
        <v>3</v>
      </c>
      <c r="K57" s="3">
        <v>3</v>
      </c>
      <c r="L57" s="30">
        <v>4</v>
      </c>
    </row>
    <row r="58" spans="1:12">
      <c r="A58" s="10" t="s">
        <v>340</v>
      </c>
      <c r="B58" s="3">
        <v>3</v>
      </c>
      <c r="C58" s="3">
        <v>3</v>
      </c>
      <c r="D58" s="30">
        <v>4</v>
      </c>
      <c r="E58" s="10" t="s">
        <v>340</v>
      </c>
      <c r="F58" s="3">
        <v>3</v>
      </c>
      <c r="G58" s="3">
        <v>3</v>
      </c>
      <c r="H58" s="30">
        <v>4</v>
      </c>
      <c r="I58" s="10" t="s">
        <v>340</v>
      </c>
      <c r="J58" s="3">
        <v>3</v>
      </c>
      <c r="K58" s="3">
        <v>3</v>
      </c>
      <c r="L58" s="30">
        <v>4</v>
      </c>
    </row>
    <row r="59" spans="1:12">
      <c r="A59" s="10" t="s">
        <v>180</v>
      </c>
      <c r="B59" s="3">
        <v>3</v>
      </c>
      <c r="C59" s="3">
        <v>0</v>
      </c>
      <c r="D59" s="30">
        <v>3</v>
      </c>
      <c r="E59" s="10" t="s">
        <v>180</v>
      </c>
      <c r="F59" s="3">
        <v>3</v>
      </c>
      <c r="G59" s="3">
        <v>0</v>
      </c>
      <c r="H59" s="30">
        <v>3</v>
      </c>
      <c r="I59" s="10" t="s">
        <v>180</v>
      </c>
      <c r="J59" s="3">
        <v>3</v>
      </c>
      <c r="K59" s="3">
        <v>0</v>
      </c>
      <c r="L59" s="30">
        <v>3</v>
      </c>
    </row>
    <row r="60" spans="1:12">
      <c r="A60" s="10" t="s">
        <v>346</v>
      </c>
      <c r="B60" s="3">
        <v>0</v>
      </c>
      <c r="C60" s="3">
        <v>3</v>
      </c>
      <c r="D60" s="30">
        <v>1</v>
      </c>
      <c r="E60" s="10" t="s">
        <v>346</v>
      </c>
      <c r="F60" s="3">
        <v>0</v>
      </c>
      <c r="G60" s="3">
        <v>3</v>
      </c>
      <c r="H60" s="30">
        <v>1</v>
      </c>
      <c r="I60" s="10" t="s">
        <v>346</v>
      </c>
      <c r="J60" s="3">
        <v>0</v>
      </c>
      <c r="K60" s="3">
        <v>3</v>
      </c>
      <c r="L60" s="30">
        <v>1</v>
      </c>
    </row>
    <row r="61" spans="1:12">
      <c r="A61" s="10" t="s">
        <v>204</v>
      </c>
      <c r="B61" s="3">
        <v>0</v>
      </c>
      <c r="C61" s="3">
        <v>3</v>
      </c>
      <c r="D61" s="30">
        <v>1</v>
      </c>
      <c r="E61" s="10" t="s">
        <v>204</v>
      </c>
      <c r="F61" s="3">
        <v>0</v>
      </c>
      <c r="G61" s="3">
        <v>3</v>
      </c>
      <c r="H61" s="30">
        <v>1</v>
      </c>
      <c r="I61" s="10" t="s">
        <v>204</v>
      </c>
      <c r="J61" s="3">
        <v>0</v>
      </c>
      <c r="K61" s="3">
        <v>3</v>
      </c>
      <c r="L61" s="30">
        <v>1</v>
      </c>
    </row>
    <row r="62" spans="1:12">
      <c r="A62" s="10" t="s">
        <v>203</v>
      </c>
      <c r="B62" s="3">
        <v>3</v>
      </c>
      <c r="C62" s="3">
        <v>0</v>
      </c>
      <c r="D62" s="30">
        <v>3</v>
      </c>
      <c r="E62" s="10" t="s">
        <v>203</v>
      </c>
      <c r="F62" s="3">
        <v>3</v>
      </c>
      <c r="G62" s="3">
        <v>0</v>
      </c>
      <c r="H62" s="30">
        <v>3</v>
      </c>
      <c r="I62" s="10" t="s">
        <v>203</v>
      </c>
      <c r="J62" s="3">
        <v>3</v>
      </c>
      <c r="K62" s="3">
        <v>0</v>
      </c>
      <c r="L62" s="30">
        <v>3</v>
      </c>
    </row>
    <row r="63" spans="1:12">
      <c r="A63" s="10" t="s">
        <v>353</v>
      </c>
      <c r="B63" s="3">
        <v>2</v>
      </c>
      <c r="C63" s="3">
        <v>0</v>
      </c>
      <c r="D63" s="30">
        <v>2</v>
      </c>
      <c r="E63" s="10" t="s">
        <v>353</v>
      </c>
      <c r="F63" s="3">
        <v>2</v>
      </c>
      <c r="G63" s="3">
        <v>0</v>
      </c>
      <c r="H63" s="30">
        <v>2</v>
      </c>
      <c r="I63" s="10" t="s">
        <v>353</v>
      </c>
      <c r="J63" s="3">
        <v>2</v>
      </c>
      <c r="K63" s="3">
        <v>0</v>
      </c>
      <c r="L63" s="30">
        <v>2</v>
      </c>
    </row>
    <row r="64" spans="1:12">
      <c r="A64" s="10" t="s">
        <v>214</v>
      </c>
      <c r="B64" s="3">
        <v>3</v>
      </c>
      <c r="C64" s="3">
        <v>0</v>
      </c>
      <c r="D64" s="30">
        <v>3</v>
      </c>
      <c r="E64" s="10" t="s">
        <v>214</v>
      </c>
      <c r="F64" s="3">
        <v>3</v>
      </c>
      <c r="G64" s="3">
        <v>0</v>
      </c>
      <c r="H64" s="30">
        <v>3</v>
      </c>
      <c r="I64" s="10" t="s">
        <v>214</v>
      </c>
      <c r="J64" s="3">
        <v>3</v>
      </c>
      <c r="K64" s="3">
        <v>0</v>
      </c>
      <c r="L64" s="30">
        <v>3</v>
      </c>
    </row>
    <row r="65" spans="1:12">
      <c r="A65" s="49" t="s">
        <v>356</v>
      </c>
      <c r="B65" s="3">
        <v>0</v>
      </c>
      <c r="C65" s="3">
        <v>3</v>
      </c>
      <c r="D65" s="30">
        <v>1</v>
      </c>
      <c r="E65" s="49" t="s">
        <v>356</v>
      </c>
      <c r="F65" s="3">
        <v>0</v>
      </c>
      <c r="G65" s="3">
        <v>3</v>
      </c>
      <c r="H65" s="30">
        <v>1</v>
      </c>
      <c r="I65" s="49" t="s">
        <v>356</v>
      </c>
      <c r="J65" s="3">
        <v>0</v>
      </c>
      <c r="K65" s="3">
        <v>3</v>
      </c>
      <c r="L65" s="30">
        <v>1</v>
      </c>
    </row>
    <row r="66" spans="1:12">
      <c r="A66" s="49" t="s">
        <v>358</v>
      </c>
      <c r="B66" s="3">
        <v>0</v>
      </c>
      <c r="C66" s="3">
        <v>6</v>
      </c>
      <c r="D66" s="30">
        <v>2</v>
      </c>
      <c r="E66" s="49" t="s">
        <v>358</v>
      </c>
      <c r="F66" s="3">
        <v>0</v>
      </c>
      <c r="G66" s="3">
        <v>6</v>
      </c>
      <c r="H66" s="30">
        <v>2</v>
      </c>
      <c r="I66" s="49" t="s">
        <v>358</v>
      </c>
      <c r="J66" s="3">
        <v>0</v>
      </c>
      <c r="K66" s="3">
        <v>6</v>
      </c>
      <c r="L66" s="30">
        <v>2</v>
      </c>
    </row>
    <row r="67" spans="1:12">
      <c r="A67" s="63" t="s">
        <v>636</v>
      </c>
      <c r="B67" s="53">
        <v>3</v>
      </c>
      <c r="C67" s="53">
        <v>240</v>
      </c>
      <c r="D67" s="54">
        <v>3</v>
      </c>
      <c r="E67" s="10" t="s">
        <v>228</v>
      </c>
      <c r="F67" s="3">
        <v>9</v>
      </c>
      <c r="G67" s="3">
        <v>520</v>
      </c>
      <c r="H67" s="30">
        <v>9</v>
      </c>
      <c r="I67" s="10" t="s">
        <v>228</v>
      </c>
      <c r="J67" s="3">
        <v>6</v>
      </c>
      <c r="K67" s="3">
        <v>520</v>
      </c>
      <c r="L67" s="30">
        <v>6</v>
      </c>
    </row>
    <row r="68" spans="1:12">
      <c r="A68" s="55"/>
      <c r="B68" s="82"/>
      <c r="C68" s="82"/>
      <c r="D68" s="82"/>
      <c r="E68" s="10" t="s">
        <v>229</v>
      </c>
      <c r="F68" s="3">
        <v>9</v>
      </c>
      <c r="G68" s="3">
        <v>520</v>
      </c>
      <c r="H68" s="30">
        <v>9</v>
      </c>
      <c r="I68" s="10" t="s">
        <v>229</v>
      </c>
      <c r="J68" s="3">
        <v>6</v>
      </c>
      <c r="K68" s="3">
        <v>520</v>
      </c>
      <c r="L68" s="30">
        <v>6</v>
      </c>
    </row>
    <row r="69" spans="1:12">
      <c r="A69" s="55"/>
      <c r="B69" s="82"/>
      <c r="C69" s="82"/>
      <c r="D69" s="82"/>
      <c r="E69" s="10" t="s">
        <v>637</v>
      </c>
      <c r="F69" s="3">
        <v>0</v>
      </c>
      <c r="G69" s="3">
        <v>6</v>
      </c>
      <c r="H69" s="30">
        <v>2</v>
      </c>
      <c r="I69" s="10" t="s">
        <v>231</v>
      </c>
      <c r="J69" s="3">
        <v>6</v>
      </c>
      <c r="K69" s="3">
        <v>520</v>
      </c>
      <c r="L69" s="30">
        <v>6</v>
      </c>
    </row>
    <row r="70" spans="1:12">
      <c r="E70" s="10" t="s">
        <v>189</v>
      </c>
      <c r="F70" s="3">
        <v>2</v>
      </c>
      <c r="G70" s="3">
        <v>3</v>
      </c>
      <c r="H70" s="30">
        <v>3</v>
      </c>
      <c r="I70" s="10" t="s">
        <v>638</v>
      </c>
      <c r="J70" s="3">
        <v>0</v>
      </c>
      <c r="K70" s="3">
        <v>3</v>
      </c>
      <c r="L70" s="30">
        <v>1</v>
      </c>
    </row>
    <row r="71" spans="1:12">
      <c r="E71" s="10" t="s">
        <v>639</v>
      </c>
      <c r="F71" s="3">
        <v>3</v>
      </c>
      <c r="G71" s="3">
        <v>0</v>
      </c>
      <c r="H71" s="30">
        <v>3</v>
      </c>
      <c r="I71" s="10" t="s">
        <v>189</v>
      </c>
      <c r="J71" s="3">
        <v>0</v>
      </c>
      <c r="K71" s="3">
        <v>3</v>
      </c>
      <c r="L71" s="30">
        <v>1</v>
      </c>
    </row>
    <row r="72" spans="1:12">
      <c r="E72" s="10" t="s">
        <v>640</v>
      </c>
      <c r="F72" s="3">
        <v>3</v>
      </c>
      <c r="G72" s="3">
        <v>0</v>
      </c>
      <c r="H72" s="30">
        <v>3</v>
      </c>
      <c r="I72" s="10" t="s">
        <v>641</v>
      </c>
      <c r="J72" s="3">
        <v>0</v>
      </c>
      <c r="K72" s="3">
        <v>3</v>
      </c>
      <c r="L72" s="30">
        <v>1</v>
      </c>
    </row>
    <row r="73" spans="1:12">
      <c r="A73" s="10"/>
      <c r="B73" s="3"/>
      <c r="C73" s="3"/>
      <c r="D73" s="30"/>
      <c r="E73" s="10"/>
      <c r="F73" s="3"/>
      <c r="G73" s="3"/>
      <c r="H73" s="30"/>
      <c r="I73" s="10"/>
      <c r="J73" s="3"/>
      <c r="K73" s="3"/>
      <c r="L73" s="30"/>
    </row>
    <row r="74" spans="1:12" ht="12.95">
      <c r="A74" s="11" t="s">
        <v>632</v>
      </c>
      <c r="B74" s="34">
        <f>SUM(B41:B67)</f>
        <v>53</v>
      </c>
      <c r="C74" s="34">
        <f>SUM(C41:C67)</f>
        <v>297</v>
      </c>
      <c r="D74" s="34">
        <f>SUM(D41:D67)</f>
        <v>72</v>
      </c>
      <c r="E74" s="33" t="s">
        <v>632</v>
      </c>
      <c r="F74" s="34">
        <f>SUM(F41:F72)</f>
        <v>76</v>
      </c>
      <c r="G74" s="34">
        <f>SUM(G41:G70)</f>
        <v>1106</v>
      </c>
      <c r="H74" s="38">
        <f>SUM(H41:H73)</f>
        <v>98</v>
      </c>
      <c r="I74" s="33" t="s">
        <v>632</v>
      </c>
      <c r="J74" s="34">
        <f>SUM(J41:J72)</f>
        <v>68</v>
      </c>
      <c r="K74" s="34">
        <f>SUM(K41:K72)</f>
        <v>1626</v>
      </c>
      <c r="L74" s="38">
        <f>SUM(L41:L73)</f>
        <v>90</v>
      </c>
    </row>
    <row r="75" spans="1:12" ht="12.95">
      <c r="A75" s="9" t="s">
        <v>642</v>
      </c>
      <c r="B75" s="3"/>
      <c r="C75" s="3"/>
      <c r="D75" s="30"/>
      <c r="E75" s="9" t="s">
        <v>642</v>
      </c>
      <c r="F75" s="3"/>
      <c r="G75" s="3"/>
      <c r="H75" s="30"/>
      <c r="I75" s="9" t="s">
        <v>642</v>
      </c>
      <c r="J75" s="3"/>
      <c r="K75" s="3"/>
      <c r="L75" s="30"/>
    </row>
    <row r="76" spans="1:12">
      <c r="A76" s="10" t="s">
        <v>643</v>
      </c>
      <c r="B76" s="3">
        <v>3</v>
      </c>
      <c r="C76" s="3"/>
      <c r="D76" s="30">
        <v>3</v>
      </c>
      <c r="E76" s="10" t="s">
        <v>643</v>
      </c>
      <c r="F76" s="3">
        <v>3</v>
      </c>
      <c r="G76" s="3"/>
      <c r="H76" s="30">
        <v>3</v>
      </c>
      <c r="I76" s="10" t="s">
        <v>643</v>
      </c>
      <c r="J76" s="3">
        <v>3</v>
      </c>
      <c r="K76" s="3"/>
      <c r="L76" s="30">
        <v>3</v>
      </c>
    </row>
    <row r="77" spans="1:12">
      <c r="A77" s="10" t="s">
        <v>644</v>
      </c>
      <c r="B77" s="3">
        <v>3</v>
      </c>
      <c r="C77" s="3"/>
      <c r="D77" s="30">
        <v>3</v>
      </c>
      <c r="E77" s="10" t="s">
        <v>644</v>
      </c>
      <c r="F77" s="3">
        <v>3</v>
      </c>
      <c r="G77" s="3"/>
      <c r="H77" s="30">
        <v>3</v>
      </c>
      <c r="I77" s="10" t="s">
        <v>644</v>
      </c>
      <c r="J77" s="3">
        <v>3</v>
      </c>
      <c r="K77" s="3"/>
      <c r="L77" s="30">
        <v>3</v>
      </c>
    </row>
    <row r="78" spans="1:12">
      <c r="A78" s="10" t="s">
        <v>645</v>
      </c>
      <c r="B78" s="3">
        <v>3</v>
      </c>
      <c r="C78" s="3"/>
      <c r="D78" s="30">
        <v>3</v>
      </c>
      <c r="E78" s="10" t="s">
        <v>645</v>
      </c>
      <c r="F78" s="3">
        <v>3</v>
      </c>
      <c r="G78" s="3"/>
      <c r="H78" s="30">
        <v>3</v>
      </c>
      <c r="I78" s="10" t="s">
        <v>645</v>
      </c>
      <c r="J78" s="3">
        <v>3</v>
      </c>
      <c r="K78" s="3"/>
      <c r="L78" s="30">
        <v>3</v>
      </c>
    </row>
    <row r="79" spans="1:12">
      <c r="A79" s="10"/>
      <c r="B79" s="3"/>
      <c r="C79" s="3"/>
      <c r="D79" s="30"/>
      <c r="E79" s="10"/>
      <c r="F79" s="3"/>
      <c r="G79" s="3"/>
      <c r="H79" s="30"/>
      <c r="I79" s="10"/>
      <c r="J79" s="3"/>
      <c r="K79" s="3"/>
      <c r="L79" s="30"/>
    </row>
    <row r="80" spans="1:12" ht="12.95">
      <c r="A80" s="11" t="s">
        <v>632</v>
      </c>
      <c r="B80" s="34">
        <f>SUM(B76:B79)</f>
        <v>9</v>
      </c>
      <c r="C80" s="34">
        <f>SUM(C76:C79)</f>
        <v>0</v>
      </c>
      <c r="D80" s="38">
        <f>SUM(D76:D79)</f>
        <v>9</v>
      </c>
      <c r="E80" s="33" t="s">
        <v>632</v>
      </c>
      <c r="F80" s="34">
        <f>SUM(F76:F79)</f>
        <v>9</v>
      </c>
      <c r="G80" s="34">
        <f>SUM(G76:G79)</f>
        <v>0</v>
      </c>
      <c r="H80" s="38">
        <f>SUM(H76:H79)</f>
        <v>9</v>
      </c>
      <c r="I80" s="33" t="s">
        <v>632</v>
      </c>
      <c r="J80" s="34">
        <f>SUM(J76:J79)</f>
        <v>9</v>
      </c>
      <c r="K80" s="34">
        <f>SUM(K76:K79)</f>
        <v>0</v>
      </c>
      <c r="L80" s="38">
        <f>SUM(L76:L79)</f>
        <v>9</v>
      </c>
    </row>
    <row r="81" spans="1:12">
      <c r="A81" s="10"/>
      <c r="B81" s="3"/>
      <c r="C81" s="3"/>
      <c r="D81" s="30"/>
      <c r="E81" s="10"/>
      <c r="F81" s="3"/>
      <c r="G81" s="3"/>
      <c r="H81" s="30"/>
      <c r="I81" s="10"/>
      <c r="J81" s="3"/>
      <c r="K81" s="3"/>
      <c r="L81" s="30"/>
    </row>
    <row r="82" spans="1:12" ht="12.95">
      <c r="A82" s="8" t="s">
        <v>98</v>
      </c>
      <c r="B82" s="29"/>
      <c r="C82" s="29"/>
      <c r="D82" s="61"/>
      <c r="E82" s="28" t="s">
        <v>98</v>
      </c>
      <c r="F82" s="31"/>
      <c r="G82" s="31"/>
      <c r="H82" s="32"/>
      <c r="I82" s="28" t="s">
        <v>98</v>
      </c>
      <c r="J82" s="31"/>
      <c r="K82" s="31"/>
      <c r="L82" s="32"/>
    </row>
    <row r="83" spans="1:12" ht="12.95">
      <c r="A83" s="17" t="s">
        <v>99</v>
      </c>
      <c r="B83" s="3"/>
      <c r="C83" s="3"/>
      <c r="D83" s="30"/>
      <c r="E83" s="50" t="s">
        <v>449</v>
      </c>
      <c r="F83" s="3"/>
      <c r="G83" s="3"/>
      <c r="H83" s="30"/>
      <c r="I83" s="50" t="s">
        <v>449</v>
      </c>
      <c r="J83" s="3"/>
      <c r="K83" s="3"/>
      <c r="L83" s="30"/>
    </row>
    <row r="84" spans="1:12">
      <c r="A84" s="64" t="s">
        <v>646</v>
      </c>
      <c r="B84" s="3">
        <v>3</v>
      </c>
      <c r="C84" s="3">
        <v>0</v>
      </c>
      <c r="D84" s="30">
        <v>3</v>
      </c>
      <c r="E84" s="64" t="s">
        <v>646</v>
      </c>
      <c r="F84" s="3">
        <v>3</v>
      </c>
      <c r="G84" s="3">
        <v>0</v>
      </c>
      <c r="H84" s="30">
        <v>3</v>
      </c>
      <c r="I84" s="64" t="s">
        <v>646</v>
      </c>
      <c r="J84" s="3">
        <v>3</v>
      </c>
      <c r="K84" s="3">
        <v>0</v>
      </c>
      <c r="L84" s="30">
        <v>3</v>
      </c>
    </row>
    <row r="85" spans="1:12">
      <c r="A85" s="64" t="s">
        <v>386</v>
      </c>
      <c r="B85" s="3">
        <v>3</v>
      </c>
      <c r="C85" s="3">
        <v>0</v>
      </c>
      <c r="D85" s="30">
        <v>3</v>
      </c>
      <c r="E85" s="64" t="s">
        <v>386</v>
      </c>
      <c r="F85" s="3">
        <v>3</v>
      </c>
      <c r="G85" s="3">
        <v>0</v>
      </c>
      <c r="H85" s="30">
        <v>3</v>
      </c>
      <c r="I85" s="64" t="s">
        <v>386</v>
      </c>
      <c r="J85" s="3">
        <v>3</v>
      </c>
      <c r="K85" s="3">
        <v>0</v>
      </c>
      <c r="L85" s="30">
        <v>3</v>
      </c>
    </row>
    <row r="86" spans="1:12">
      <c r="A86" s="64" t="s">
        <v>166</v>
      </c>
      <c r="B86" s="3">
        <v>3</v>
      </c>
      <c r="C86" s="3">
        <v>0</v>
      </c>
      <c r="D86" s="30">
        <v>3</v>
      </c>
      <c r="E86" s="64" t="s">
        <v>166</v>
      </c>
      <c r="F86" s="3">
        <v>3</v>
      </c>
      <c r="G86" s="3">
        <v>0</v>
      </c>
      <c r="H86" s="30">
        <v>3</v>
      </c>
      <c r="I86" s="64" t="s">
        <v>166</v>
      </c>
      <c r="J86" s="3">
        <v>3</v>
      </c>
      <c r="K86" s="3">
        <v>0</v>
      </c>
      <c r="L86" s="30">
        <v>3</v>
      </c>
    </row>
    <row r="87" spans="1:12" ht="13.5" customHeight="1">
      <c r="A87" s="49" t="s">
        <v>647</v>
      </c>
      <c r="B87" s="42">
        <v>3</v>
      </c>
      <c r="C87" s="3">
        <v>0</v>
      </c>
      <c r="D87" s="30">
        <v>3</v>
      </c>
      <c r="E87" s="49" t="s">
        <v>648</v>
      </c>
      <c r="F87" s="42">
        <v>3</v>
      </c>
      <c r="G87" s="3">
        <v>0</v>
      </c>
      <c r="H87" s="30">
        <v>3</v>
      </c>
      <c r="I87" s="49" t="s">
        <v>648</v>
      </c>
      <c r="J87" s="42">
        <v>3</v>
      </c>
      <c r="K87" s="3">
        <v>0</v>
      </c>
      <c r="L87" s="30">
        <v>3</v>
      </c>
    </row>
    <row r="88" spans="1:12" s="55" customFormat="1">
      <c r="A88" s="48" t="s">
        <v>200</v>
      </c>
      <c r="B88" s="53">
        <v>3</v>
      </c>
      <c r="C88" s="53">
        <v>0</v>
      </c>
      <c r="D88" s="54">
        <v>3</v>
      </c>
      <c r="E88" s="49" t="s">
        <v>649</v>
      </c>
      <c r="F88" s="42">
        <v>3</v>
      </c>
      <c r="G88" s="3">
        <v>0</v>
      </c>
      <c r="H88" s="30">
        <v>3</v>
      </c>
      <c r="I88" s="49" t="s">
        <v>649</v>
      </c>
      <c r="J88" s="42">
        <v>3</v>
      </c>
      <c r="K88" s="3">
        <v>0</v>
      </c>
      <c r="L88" s="30">
        <v>3</v>
      </c>
    </row>
    <row r="89" spans="1:12" s="55" customFormat="1">
      <c r="A89" s="52" t="s">
        <v>396</v>
      </c>
      <c r="B89" s="56">
        <v>3</v>
      </c>
      <c r="C89" s="53">
        <v>0</v>
      </c>
      <c r="D89" s="54">
        <v>3</v>
      </c>
      <c r="E89" s="49" t="s">
        <v>650</v>
      </c>
      <c r="F89" s="42">
        <v>3</v>
      </c>
      <c r="G89" s="3">
        <v>0</v>
      </c>
      <c r="H89" s="30">
        <v>3</v>
      </c>
      <c r="I89" s="49" t="s">
        <v>650</v>
      </c>
      <c r="J89" s="42">
        <v>3</v>
      </c>
      <c r="K89" s="3">
        <v>0</v>
      </c>
      <c r="L89" s="30">
        <v>3</v>
      </c>
    </row>
    <row r="90" spans="1:12" s="55" customFormat="1">
      <c r="A90" s="52" t="s">
        <v>651</v>
      </c>
      <c r="B90" s="56">
        <v>3</v>
      </c>
      <c r="C90" s="53">
        <v>0</v>
      </c>
      <c r="D90" s="54">
        <v>3</v>
      </c>
      <c r="E90" s="49" t="s">
        <v>651</v>
      </c>
      <c r="F90" s="42">
        <v>3</v>
      </c>
      <c r="G90" s="3">
        <v>0</v>
      </c>
      <c r="H90" s="30">
        <v>3</v>
      </c>
      <c r="I90" s="49" t="s">
        <v>651</v>
      </c>
      <c r="J90" s="42">
        <v>3</v>
      </c>
      <c r="K90" s="3">
        <v>0</v>
      </c>
      <c r="L90" s="30">
        <v>3</v>
      </c>
    </row>
    <row r="91" spans="1:12" s="55" customFormat="1">
      <c r="A91" s="52" t="s">
        <v>391</v>
      </c>
      <c r="B91" s="56">
        <v>3</v>
      </c>
      <c r="C91" s="53">
        <v>0</v>
      </c>
      <c r="D91" s="54">
        <v>3</v>
      </c>
      <c r="E91" s="49" t="s">
        <v>391</v>
      </c>
      <c r="F91" s="42">
        <v>3</v>
      </c>
      <c r="G91" s="3">
        <v>0</v>
      </c>
      <c r="H91" s="30">
        <v>3</v>
      </c>
      <c r="I91" s="49" t="s">
        <v>391</v>
      </c>
      <c r="J91" s="42">
        <v>3</v>
      </c>
      <c r="K91" s="3">
        <v>0</v>
      </c>
      <c r="L91" s="30">
        <v>3</v>
      </c>
    </row>
    <row r="92" spans="1:12" s="55" customFormat="1">
      <c r="A92" s="48"/>
      <c r="B92" s="53"/>
      <c r="C92" s="53"/>
      <c r="D92" s="54"/>
      <c r="E92" s="10" t="s">
        <v>652</v>
      </c>
      <c r="F92" s="42">
        <v>3</v>
      </c>
      <c r="G92" s="3">
        <v>0</v>
      </c>
      <c r="H92" s="30">
        <v>3</v>
      </c>
      <c r="I92" s="10" t="s">
        <v>652</v>
      </c>
      <c r="J92" s="274"/>
      <c r="K92" s="275"/>
      <c r="L92" s="276"/>
    </row>
    <row r="93" spans="1:12" ht="12.95">
      <c r="A93" s="11" t="s">
        <v>632</v>
      </c>
      <c r="B93" s="34">
        <f>SUM(B84:B92)</f>
        <v>24</v>
      </c>
      <c r="C93" s="34">
        <f>SUM(C84:C92)</f>
        <v>0</v>
      </c>
      <c r="D93" s="38">
        <f>SUM(D84:D92)</f>
        <v>24</v>
      </c>
      <c r="E93" s="33" t="s">
        <v>632</v>
      </c>
      <c r="F93" s="34">
        <f>SUM(F84:F92)</f>
        <v>27</v>
      </c>
      <c r="G93" s="34">
        <f>SUM(G84:G92)</f>
        <v>0</v>
      </c>
      <c r="H93" s="34">
        <f>SUM(H84:H92)</f>
        <v>27</v>
      </c>
      <c r="I93" s="33" t="s">
        <v>632</v>
      </c>
      <c r="J93" s="34">
        <f>SUM(J84:J92)</f>
        <v>24</v>
      </c>
      <c r="K93" s="34">
        <f>SUM(K84:K92)</f>
        <v>0</v>
      </c>
      <c r="L93" s="34">
        <f>SUM(L84:L92)</f>
        <v>24</v>
      </c>
    </row>
    <row r="94" spans="1:12" ht="12.95">
      <c r="A94" s="51" t="s">
        <v>101</v>
      </c>
      <c r="B94" s="3"/>
      <c r="C94" s="3"/>
      <c r="D94" s="30"/>
      <c r="E94" s="51" t="s">
        <v>101</v>
      </c>
      <c r="F94" s="3"/>
      <c r="G94" s="3"/>
      <c r="H94" s="30"/>
      <c r="I94" s="51" t="s">
        <v>101</v>
      </c>
      <c r="J94" s="3"/>
      <c r="K94" s="3"/>
      <c r="L94" s="30"/>
    </row>
    <row r="95" spans="1:12">
      <c r="A95" s="49" t="s">
        <v>653</v>
      </c>
      <c r="B95" s="3">
        <v>3</v>
      </c>
      <c r="C95" s="3">
        <v>0</v>
      </c>
      <c r="D95" s="30">
        <v>3</v>
      </c>
      <c r="E95" s="49" t="s">
        <v>654</v>
      </c>
      <c r="F95" s="3">
        <v>3</v>
      </c>
      <c r="G95" s="3">
        <v>0</v>
      </c>
      <c r="H95" s="30">
        <v>3</v>
      </c>
      <c r="I95" s="49" t="s">
        <v>654</v>
      </c>
      <c r="J95" s="3">
        <v>3</v>
      </c>
      <c r="K95" s="3">
        <v>0</v>
      </c>
      <c r="L95" s="30">
        <v>3</v>
      </c>
    </row>
    <row r="96" spans="1:12">
      <c r="A96" s="49" t="s">
        <v>655</v>
      </c>
      <c r="B96" s="3">
        <v>3</v>
      </c>
      <c r="C96" s="3">
        <v>0</v>
      </c>
      <c r="D96" s="30">
        <v>3</v>
      </c>
      <c r="E96" s="49" t="s">
        <v>656</v>
      </c>
      <c r="F96" s="3">
        <v>3</v>
      </c>
      <c r="G96" s="3">
        <v>0</v>
      </c>
      <c r="H96" s="30">
        <v>3</v>
      </c>
      <c r="I96" s="49" t="s">
        <v>656</v>
      </c>
      <c r="J96" s="3">
        <v>3</v>
      </c>
      <c r="K96" s="3">
        <v>0</v>
      </c>
      <c r="L96" s="30">
        <v>3</v>
      </c>
    </row>
    <row r="97" spans="1:12">
      <c r="A97" s="49" t="s">
        <v>657</v>
      </c>
      <c r="B97" s="3">
        <v>3</v>
      </c>
      <c r="C97" s="3">
        <v>0</v>
      </c>
      <c r="D97" s="30">
        <v>3</v>
      </c>
      <c r="E97" s="10" t="s">
        <v>220</v>
      </c>
      <c r="F97" s="42">
        <v>3</v>
      </c>
      <c r="G97" s="3">
        <v>0</v>
      </c>
      <c r="H97" s="30">
        <v>3</v>
      </c>
      <c r="I97" s="10" t="s">
        <v>220</v>
      </c>
      <c r="J97" s="42">
        <v>3</v>
      </c>
      <c r="K97" s="3">
        <v>0</v>
      </c>
      <c r="L97" s="30">
        <v>3</v>
      </c>
    </row>
    <row r="98" spans="1:12">
      <c r="A98" s="10"/>
      <c r="B98" s="3"/>
      <c r="C98" s="3"/>
      <c r="D98" s="30"/>
      <c r="E98" s="10"/>
      <c r="F98" s="3"/>
      <c r="G98" s="3"/>
      <c r="H98" s="30"/>
      <c r="I98" s="10"/>
      <c r="J98" s="3"/>
      <c r="K98" s="3"/>
      <c r="L98" s="30"/>
    </row>
    <row r="99" spans="1:12" ht="12.95">
      <c r="A99" s="11" t="s">
        <v>632</v>
      </c>
      <c r="B99" s="34">
        <f>SUM(B95:B98)</f>
        <v>9</v>
      </c>
      <c r="C99" s="34">
        <f>SUM(C95:C96)</f>
        <v>0</v>
      </c>
      <c r="D99" s="38">
        <f>SUM(D95:D98)</f>
        <v>9</v>
      </c>
      <c r="E99" s="33" t="s">
        <v>632</v>
      </c>
      <c r="F99" s="34">
        <f>SUM(F95:F98)</f>
        <v>9</v>
      </c>
      <c r="G99" s="34">
        <f>SUM(G95:G98)</f>
        <v>0</v>
      </c>
      <c r="H99" s="34">
        <f>SUM(H95:H98)</f>
        <v>9</v>
      </c>
      <c r="I99" s="33" t="s">
        <v>632</v>
      </c>
      <c r="J99" s="34">
        <f>SUM(J95:J98)</f>
        <v>9</v>
      </c>
      <c r="K99" s="34">
        <f>SUM(K95:K98)</f>
        <v>0</v>
      </c>
      <c r="L99" s="34">
        <f>SUM(L95:L98)</f>
        <v>9</v>
      </c>
    </row>
    <row r="100" spans="1:12" ht="12.95">
      <c r="A100" s="15" t="s">
        <v>102</v>
      </c>
      <c r="B100" s="3"/>
      <c r="C100" s="3"/>
      <c r="D100" s="30"/>
      <c r="E100" s="15" t="s">
        <v>102</v>
      </c>
      <c r="F100" s="3"/>
      <c r="G100" s="3"/>
      <c r="H100" s="30"/>
      <c r="I100" s="15" t="s">
        <v>102</v>
      </c>
      <c r="J100" s="3"/>
      <c r="K100" s="3"/>
      <c r="L100" s="30"/>
    </row>
    <row r="101" spans="1:12">
      <c r="A101" s="10"/>
      <c r="B101" s="42"/>
      <c r="C101" s="3">
        <v>0</v>
      </c>
      <c r="D101" s="30"/>
      <c r="E101" s="10" t="s">
        <v>658</v>
      </c>
      <c r="F101" s="42">
        <v>3</v>
      </c>
      <c r="G101" s="3">
        <v>0</v>
      </c>
      <c r="H101" s="30">
        <v>3</v>
      </c>
      <c r="I101" s="10"/>
      <c r="J101" s="42"/>
      <c r="K101" s="3"/>
      <c r="L101" s="30"/>
    </row>
    <row r="102" spans="1:12">
      <c r="A102" s="10"/>
      <c r="B102" s="42"/>
      <c r="C102" s="3"/>
      <c r="D102" s="30"/>
      <c r="E102" s="10" t="s">
        <v>659</v>
      </c>
      <c r="F102" s="42">
        <v>3</v>
      </c>
      <c r="G102" s="3">
        <v>0</v>
      </c>
      <c r="H102" s="30">
        <v>3</v>
      </c>
      <c r="I102" s="10"/>
      <c r="J102" s="42"/>
      <c r="K102" s="3"/>
      <c r="L102" s="30"/>
    </row>
    <row r="103" spans="1:12">
      <c r="A103" s="10"/>
      <c r="B103" s="42"/>
      <c r="C103" s="3">
        <v>0</v>
      </c>
      <c r="D103" s="30"/>
      <c r="E103" s="10"/>
      <c r="F103" s="42"/>
      <c r="G103" s="3"/>
      <c r="H103" s="30"/>
      <c r="I103" s="10"/>
      <c r="J103" s="42"/>
      <c r="K103" s="3"/>
      <c r="L103" s="30"/>
    </row>
    <row r="104" spans="1:12" ht="12.95">
      <c r="A104" s="11" t="s">
        <v>632</v>
      </c>
      <c r="B104" s="34">
        <f>SUM(B101:B103)</f>
        <v>0</v>
      </c>
      <c r="C104" s="34">
        <f>SUM(C101:C103)</f>
        <v>0</v>
      </c>
      <c r="D104" s="38">
        <f>SUM(D101:D103)</f>
        <v>0</v>
      </c>
      <c r="E104" s="33" t="s">
        <v>632</v>
      </c>
      <c r="F104" s="34">
        <f>SUM(F101:F103)</f>
        <v>6</v>
      </c>
      <c r="G104" s="34">
        <f>SUM(G101:G103)</f>
        <v>0</v>
      </c>
      <c r="H104" s="38">
        <f>SUM(H101:H103)</f>
        <v>6</v>
      </c>
      <c r="I104" s="33" t="s">
        <v>632</v>
      </c>
      <c r="J104" s="34">
        <f>SUM(J101:J103)</f>
        <v>0</v>
      </c>
      <c r="K104" s="34">
        <f>SUM(K101:K103)</f>
        <v>0</v>
      </c>
      <c r="L104" s="38">
        <f>SUM(L101:L103)</f>
        <v>0</v>
      </c>
    </row>
    <row r="105" spans="1:12" ht="12.95">
      <c r="A105" s="18" t="s">
        <v>103</v>
      </c>
      <c r="B105" s="3"/>
      <c r="C105" s="3"/>
      <c r="D105" s="30"/>
      <c r="E105" s="18" t="s">
        <v>103</v>
      </c>
      <c r="F105" s="3"/>
      <c r="G105" s="3"/>
      <c r="H105" s="30"/>
      <c r="I105" s="18" t="s">
        <v>103</v>
      </c>
      <c r="J105" s="3"/>
      <c r="K105" s="3"/>
      <c r="L105" s="30"/>
    </row>
    <row r="106" spans="1:12">
      <c r="A106" s="10" t="s">
        <v>660</v>
      </c>
      <c r="B106" s="3">
        <v>3</v>
      </c>
      <c r="C106" s="3">
        <v>0</v>
      </c>
      <c r="D106" s="30">
        <v>3</v>
      </c>
      <c r="E106" s="10" t="s">
        <v>195</v>
      </c>
      <c r="F106" s="3">
        <v>3</v>
      </c>
      <c r="G106" s="3">
        <v>0</v>
      </c>
      <c r="H106" s="30">
        <v>3</v>
      </c>
      <c r="I106" s="10" t="s">
        <v>195</v>
      </c>
      <c r="J106" s="3">
        <v>3</v>
      </c>
      <c r="K106" s="3">
        <v>0</v>
      </c>
      <c r="L106" s="30">
        <v>3</v>
      </c>
    </row>
    <row r="107" spans="1:12" ht="12.95">
      <c r="A107" s="11" t="s">
        <v>632</v>
      </c>
      <c r="B107" s="34">
        <f>B106</f>
        <v>3</v>
      </c>
      <c r="C107" s="34">
        <v>0</v>
      </c>
      <c r="D107" s="38">
        <f>D106</f>
        <v>3</v>
      </c>
      <c r="E107" s="33" t="s">
        <v>632</v>
      </c>
      <c r="F107" s="34">
        <v>3</v>
      </c>
      <c r="G107" s="34">
        <v>0</v>
      </c>
      <c r="H107" s="38">
        <v>3</v>
      </c>
      <c r="I107" s="33" t="s">
        <v>632</v>
      </c>
      <c r="J107" s="34">
        <v>3</v>
      </c>
      <c r="K107" s="34">
        <v>0</v>
      </c>
      <c r="L107" s="38">
        <v>3</v>
      </c>
    </row>
    <row r="108" spans="1:12">
      <c r="A108" s="20" t="s">
        <v>104</v>
      </c>
      <c r="B108" s="3"/>
      <c r="C108" s="3"/>
      <c r="D108" s="30"/>
      <c r="E108" s="20" t="s">
        <v>104</v>
      </c>
      <c r="F108" s="3"/>
      <c r="G108" s="3"/>
      <c r="H108" s="30"/>
      <c r="I108" s="20" t="s">
        <v>104</v>
      </c>
      <c r="J108" s="3"/>
      <c r="K108" s="3"/>
      <c r="L108" s="30"/>
    </row>
    <row r="109" spans="1:12">
      <c r="A109" s="19" t="s">
        <v>661</v>
      </c>
      <c r="B109" s="3">
        <v>2</v>
      </c>
      <c r="C109" s="3">
        <v>0</v>
      </c>
      <c r="D109" s="30">
        <v>2</v>
      </c>
      <c r="E109" s="10" t="s">
        <v>411</v>
      </c>
      <c r="F109" s="3">
        <v>2</v>
      </c>
      <c r="G109" s="3">
        <v>0</v>
      </c>
      <c r="H109" s="30">
        <v>2</v>
      </c>
      <c r="I109" s="10" t="s">
        <v>411</v>
      </c>
      <c r="J109" s="3">
        <v>2</v>
      </c>
      <c r="K109" s="3">
        <v>0</v>
      </c>
      <c r="L109" s="30">
        <v>2</v>
      </c>
    </row>
    <row r="110" spans="1:12">
      <c r="A110" s="19" t="s">
        <v>615</v>
      </c>
      <c r="B110" s="3">
        <v>2</v>
      </c>
      <c r="C110" s="3">
        <v>0</v>
      </c>
      <c r="D110" s="30">
        <v>2</v>
      </c>
      <c r="E110" s="10" t="s">
        <v>413</v>
      </c>
      <c r="F110" s="3">
        <v>2</v>
      </c>
      <c r="G110" s="3">
        <v>0</v>
      </c>
      <c r="H110" s="30">
        <v>2</v>
      </c>
      <c r="I110" s="10" t="s">
        <v>413</v>
      </c>
      <c r="J110" s="3">
        <v>2</v>
      </c>
      <c r="K110" s="3">
        <v>0</v>
      </c>
      <c r="L110" s="30">
        <v>2</v>
      </c>
    </row>
    <row r="111" spans="1:12">
      <c r="A111" s="19" t="s">
        <v>617</v>
      </c>
      <c r="B111" s="3">
        <v>2</v>
      </c>
      <c r="C111" s="3">
        <v>0</v>
      </c>
      <c r="D111" s="30">
        <v>2</v>
      </c>
      <c r="E111" s="10" t="s">
        <v>415</v>
      </c>
      <c r="F111" s="3">
        <v>2</v>
      </c>
      <c r="G111" s="3">
        <v>0</v>
      </c>
      <c r="H111" s="30">
        <v>2</v>
      </c>
      <c r="I111" s="10" t="s">
        <v>415</v>
      </c>
      <c r="J111" s="3">
        <v>2</v>
      </c>
      <c r="K111" s="3">
        <v>0</v>
      </c>
      <c r="L111" s="30">
        <v>2</v>
      </c>
    </row>
    <row r="112" spans="1:12">
      <c r="A112" s="19" t="s">
        <v>619</v>
      </c>
      <c r="B112" s="3">
        <v>2</v>
      </c>
      <c r="C112" s="3">
        <v>0</v>
      </c>
      <c r="D112" s="30">
        <v>2</v>
      </c>
      <c r="E112" s="10" t="s">
        <v>417</v>
      </c>
      <c r="F112" s="3">
        <v>2</v>
      </c>
      <c r="G112" s="3">
        <v>0</v>
      </c>
      <c r="H112" s="30">
        <v>2</v>
      </c>
      <c r="I112" s="10" t="s">
        <v>417</v>
      </c>
      <c r="J112" s="3">
        <v>2</v>
      </c>
      <c r="K112" s="3">
        <v>0</v>
      </c>
      <c r="L112" s="30">
        <v>2</v>
      </c>
    </row>
    <row r="113" spans="1:12" ht="12.95">
      <c r="A113" s="11" t="s">
        <v>632</v>
      </c>
      <c r="B113" s="34">
        <f>SUM(B109:B112)</f>
        <v>8</v>
      </c>
      <c r="C113" s="34">
        <f>SUM(C109:C112)</f>
        <v>0</v>
      </c>
      <c r="D113" s="38">
        <f>SUM(D109:D112)</f>
        <v>8</v>
      </c>
      <c r="E113" s="33" t="s">
        <v>632</v>
      </c>
      <c r="F113" s="34">
        <f>SUM(F109:F112)</f>
        <v>8</v>
      </c>
      <c r="G113" s="34">
        <f>SUM(G109:G112)</f>
        <v>0</v>
      </c>
      <c r="H113" s="38">
        <f>SUM(H109:H112)</f>
        <v>8</v>
      </c>
      <c r="I113" s="33" t="s">
        <v>632</v>
      </c>
      <c r="J113" s="34">
        <f>SUM(J109:J112)</f>
        <v>8</v>
      </c>
      <c r="K113" s="34">
        <f>SUM(K109:K112)</f>
        <v>0</v>
      </c>
      <c r="L113" s="38">
        <f>SUM(L109:L112)</f>
        <v>8</v>
      </c>
    </row>
    <row r="114" spans="1:12" ht="12.95">
      <c r="A114" s="21" t="s">
        <v>105</v>
      </c>
      <c r="B114" s="3"/>
      <c r="C114" s="3"/>
      <c r="D114" s="30"/>
      <c r="E114" s="21" t="s">
        <v>105</v>
      </c>
      <c r="F114" s="3"/>
      <c r="G114" s="3"/>
      <c r="H114" s="30"/>
      <c r="I114" s="21" t="s">
        <v>105</v>
      </c>
      <c r="J114" s="3"/>
      <c r="K114" s="3"/>
      <c r="L114" s="30"/>
    </row>
    <row r="115" spans="1:12">
      <c r="A115" s="10" t="s">
        <v>176</v>
      </c>
      <c r="B115" s="3">
        <v>3</v>
      </c>
      <c r="C115" s="3">
        <v>0</v>
      </c>
      <c r="D115" s="30">
        <v>3</v>
      </c>
      <c r="E115" s="10" t="s">
        <v>420</v>
      </c>
      <c r="F115" s="3">
        <v>0</v>
      </c>
      <c r="G115" s="3">
        <v>0</v>
      </c>
      <c r="H115" s="30">
        <v>3</v>
      </c>
      <c r="I115" s="10" t="s">
        <v>420</v>
      </c>
      <c r="J115" s="3">
        <v>0</v>
      </c>
      <c r="K115" s="3">
        <v>0</v>
      </c>
      <c r="L115" s="30">
        <v>3</v>
      </c>
    </row>
    <row r="116" spans="1:12">
      <c r="A116" s="10" t="s">
        <v>173</v>
      </c>
      <c r="B116" s="3">
        <v>3</v>
      </c>
      <c r="C116" s="3">
        <v>0</v>
      </c>
      <c r="D116" s="30">
        <v>3</v>
      </c>
      <c r="E116" s="10" t="s">
        <v>422</v>
      </c>
      <c r="F116" s="3">
        <v>0</v>
      </c>
      <c r="G116" s="3">
        <v>0</v>
      </c>
      <c r="H116" s="30">
        <v>3</v>
      </c>
      <c r="I116" s="10" t="s">
        <v>422</v>
      </c>
      <c r="J116" s="3">
        <v>0</v>
      </c>
      <c r="K116" s="3">
        <v>0</v>
      </c>
      <c r="L116" s="30">
        <v>3</v>
      </c>
    </row>
    <row r="117" spans="1:12" ht="12.95">
      <c r="A117" s="11" t="s">
        <v>632</v>
      </c>
      <c r="B117" s="34">
        <f>SUM(B115:B116)</f>
        <v>6</v>
      </c>
      <c r="C117" s="34">
        <v>0</v>
      </c>
      <c r="D117" s="38">
        <f>SUM(D115:D116)</f>
        <v>6</v>
      </c>
      <c r="E117" s="33" t="s">
        <v>632</v>
      </c>
      <c r="F117" s="34">
        <f>SUM(F115:F116)</f>
        <v>0</v>
      </c>
      <c r="G117" s="34">
        <f>SUM(G115:G116)</f>
        <v>0</v>
      </c>
      <c r="H117" s="38">
        <f>SUM(H115:H116)</f>
        <v>6</v>
      </c>
      <c r="I117" s="33" t="s">
        <v>632</v>
      </c>
      <c r="J117" s="34">
        <f>SUM(J115:J116)</f>
        <v>0</v>
      </c>
      <c r="K117" s="34">
        <f>SUM(K115:K116)</f>
        <v>0</v>
      </c>
      <c r="L117" s="38">
        <f>SUM(L115:L116)</f>
        <v>6</v>
      </c>
    </row>
    <row r="118" spans="1:12">
      <c r="A118" s="10"/>
      <c r="B118" s="3"/>
      <c r="C118" s="3"/>
      <c r="D118" s="30"/>
      <c r="E118" s="10"/>
      <c r="F118" s="3"/>
      <c r="G118" s="3"/>
      <c r="H118" s="30"/>
      <c r="I118" s="10"/>
      <c r="J118" s="3"/>
      <c r="K118" s="3"/>
      <c r="L118" s="30"/>
    </row>
    <row r="119" spans="1:12" ht="14.45" thickBot="1">
      <c r="A119" s="35" t="s">
        <v>662</v>
      </c>
      <c r="B119" s="36">
        <f>B113+B99+B93+B74+B38+B33+B27+B23+B80+B117+B107+B104</f>
        <v>142</v>
      </c>
      <c r="C119" s="36">
        <f>SUM(C23+C27+C33+C38+C74+C80+C93+C99+C117)</f>
        <v>312</v>
      </c>
      <c r="D119" s="62">
        <f>(D117+D113+D107+D104+D99+D93+D80+D74+D38+D27+D33+D23)</f>
        <v>166</v>
      </c>
      <c r="E119" s="35" t="s">
        <v>662</v>
      </c>
      <c r="F119" s="36">
        <f>F117+F113+F107+F104+F99+F93+F80+F74+F38+F33+F27+F23</f>
        <v>171</v>
      </c>
      <c r="G119" s="39">
        <f>(G117+G113+G107+G104+G99+G93+G80+G74+G27+G23+G33+G38)</f>
        <v>1121</v>
      </c>
      <c r="H119" s="39">
        <f>(H117+H113+H107+H104+H99+H93+H80+H74+H27+H23+H33+H38)</f>
        <v>204</v>
      </c>
      <c r="I119" s="35" t="s">
        <v>662</v>
      </c>
      <c r="J119" s="36">
        <f>J117+J113+J107+J104+J99+J93+J80+J74+J38+J33+J27+J23</f>
        <v>151</v>
      </c>
      <c r="K119" s="39">
        <f>(K117+K113+K107+K104+K99+K93+K80+K74+K27+K23+K33+K38)</f>
        <v>1641</v>
      </c>
      <c r="L119" s="39">
        <f>(L117+L113+L107+L104+L99+L93+L80+L74+L27+L23+L33+L38)</f>
        <v>184</v>
      </c>
    </row>
    <row r="120" spans="1:12">
      <c r="D120">
        <v>15</v>
      </c>
      <c r="E120" s="57" t="s">
        <v>663</v>
      </c>
    </row>
    <row r="121" spans="1:12">
      <c r="D121">
        <v>3</v>
      </c>
      <c r="E121" s="57" t="s">
        <v>664</v>
      </c>
      <c r="H121" s="677"/>
      <c r="I121" s="677"/>
    </row>
    <row r="122" spans="1:12" ht="12.95">
      <c r="C122" s="67">
        <f>SUM(D120:D123)</f>
        <v>27</v>
      </c>
      <c r="D122">
        <v>3</v>
      </c>
      <c r="E122" s="57" t="s">
        <v>665</v>
      </c>
      <c r="I122" s="241"/>
    </row>
    <row r="123" spans="1:12" ht="12.95">
      <c r="D123">
        <v>6</v>
      </c>
      <c r="E123" t="s">
        <v>666</v>
      </c>
      <c r="I123" s="241"/>
    </row>
    <row r="124" spans="1:12" ht="12.95">
      <c r="D124">
        <f>SUM(D119:D123)</f>
        <v>193</v>
      </c>
      <c r="I124" s="241"/>
    </row>
    <row r="125" spans="1:12" ht="12.95">
      <c r="I125" s="241"/>
    </row>
    <row r="126" spans="1:12">
      <c r="D126" s="1">
        <v>166</v>
      </c>
      <c r="E126" s="1" t="s">
        <v>667</v>
      </c>
      <c r="I126" s="242"/>
    </row>
    <row r="127" spans="1:12">
      <c r="D127" s="1">
        <v>15</v>
      </c>
      <c r="E127" s="1" t="s">
        <v>663</v>
      </c>
      <c r="I127" s="240"/>
    </row>
    <row r="128" spans="1:12">
      <c r="D128" s="1">
        <v>3</v>
      </c>
      <c r="E128" s="1" t="s">
        <v>668</v>
      </c>
      <c r="H128" s="677"/>
      <c r="I128" s="677"/>
    </row>
    <row r="129" spans="3:5">
      <c r="C129" s="67">
        <f>SUM(D127:D130)</f>
        <v>18</v>
      </c>
      <c r="D129" s="1"/>
      <c r="E129" s="1"/>
    </row>
    <row r="131" spans="3:5">
      <c r="D131">
        <f>SUM(D126:D130)</f>
        <v>184</v>
      </c>
    </row>
  </sheetData>
  <mergeCells count="17">
    <mergeCell ref="A8:L8"/>
    <mergeCell ref="A9:L9"/>
    <mergeCell ref="A14:A15"/>
    <mergeCell ref="B14:C14"/>
    <mergeCell ref="D14:D15"/>
    <mergeCell ref="E14:E15"/>
    <mergeCell ref="F14:G14"/>
    <mergeCell ref="H14:H15"/>
    <mergeCell ref="I14:I15"/>
    <mergeCell ref="J14:K14"/>
    <mergeCell ref="L14:L15"/>
    <mergeCell ref="A13:D13"/>
    <mergeCell ref="E13:H13"/>
    <mergeCell ref="I13:L13"/>
    <mergeCell ref="A12:L12"/>
    <mergeCell ref="H121:I121"/>
    <mergeCell ref="H128:I128"/>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6:H29"/>
  <sheetViews>
    <sheetView view="pageBreakPreview" topLeftCell="E9" zoomScale="95" zoomScaleNormal="93" zoomScaleSheetLayoutView="95" zoomScalePageLayoutView="62" workbookViewId="0">
      <selection activeCell="J15" sqref="J15:L29"/>
    </sheetView>
  </sheetViews>
  <sheetFormatPr defaultRowHeight="12.6"/>
  <cols>
    <col min="1" max="1" width="44.140625" bestFit="1" customWidth="1"/>
    <col min="2" max="2" width="11.42578125" customWidth="1"/>
    <col min="3" max="3" width="18.140625" customWidth="1"/>
    <col min="4" max="4" width="14.140625" bestFit="1" customWidth="1"/>
    <col min="5" max="5" width="44.85546875" bestFit="1" customWidth="1"/>
    <col min="6" max="6" width="12.140625" bestFit="1" customWidth="1"/>
    <col min="7" max="7" width="18.140625" customWidth="1"/>
    <col min="8" max="8" width="14.140625" bestFit="1" customWidth="1"/>
    <col min="9" max="9" width="5.140625" customWidth="1"/>
  </cols>
  <sheetData>
    <row r="6" spans="1:8" ht="23.1">
      <c r="A6" s="597" t="s">
        <v>0</v>
      </c>
      <c r="B6" s="597"/>
      <c r="C6" s="597"/>
      <c r="D6" s="597"/>
      <c r="E6" s="597"/>
      <c r="F6" s="597"/>
      <c r="G6" s="597"/>
      <c r="H6" s="597"/>
    </row>
    <row r="7" spans="1:8" ht="20.100000000000001">
      <c r="A7" s="685" t="s">
        <v>423</v>
      </c>
      <c r="B7" s="685"/>
      <c r="C7" s="685"/>
      <c r="D7" s="685"/>
      <c r="E7" s="685"/>
      <c r="F7" s="685"/>
      <c r="G7" s="685"/>
      <c r="H7" s="685"/>
    </row>
    <row r="8" spans="1:8" ht="23.1">
      <c r="A8" s="40"/>
      <c r="B8" s="40"/>
      <c r="C8" s="40"/>
      <c r="D8" s="40"/>
      <c r="E8" s="40"/>
      <c r="F8" s="40"/>
      <c r="G8" s="40"/>
      <c r="H8" s="40"/>
    </row>
    <row r="9" spans="1:8" ht="12.95" thickBot="1"/>
    <row r="10" spans="1:8" ht="15.6">
      <c r="A10" s="699" t="s">
        <v>669</v>
      </c>
      <c r="B10" s="700"/>
      <c r="C10" s="700"/>
      <c r="D10" s="700"/>
      <c r="E10" s="700"/>
      <c r="F10" s="700"/>
      <c r="G10" s="700"/>
      <c r="H10" s="701"/>
    </row>
    <row r="11" spans="1:8" ht="15.6">
      <c r="A11" s="702" t="s">
        <v>670</v>
      </c>
      <c r="B11" s="688"/>
      <c r="C11" s="688"/>
      <c r="D11" s="688"/>
      <c r="E11" s="693" t="s">
        <v>671</v>
      </c>
      <c r="F11" s="693"/>
      <c r="G11" s="693"/>
      <c r="H11" s="703"/>
    </row>
    <row r="12" spans="1:8" ht="15.6">
      <c r="A12" s="686" t="s">
        <v>626</v>
      </c>
      <c r="B12" s="688" t="s">
        <v>627</v>
      </c>
      <c r="C12" s="688"/>
      <c r="D12" s="704" t="s">
        <v>628</v>
      </c>
      <c r="E12" s="691" t="s">
        <v>626</v>
      </c>
      <c r="F12" s="693" t="s">
        <v>627</v>
      </c>
      <c r="G12" s="693"/>
      <c r="H12" s="694" t="s">
        <v>629</v>
      </c>
    </row>
    <row r="13" spans="1:8" ht="15.95" thickBot="1">
      <c r="A13" s="687"/>
      <c r="B13" s="4" t="s">
        <v>630</v>
      </c>
      <c r="C13" s="4" t="s">
        <v>631</v>
      </c>
      <c r="D13" s="705"/>
      <c r="E13" s="692"/>
      <c r="F13" s="24" t="s">
        <v>630</v>
      </c>
      <c r="G13" s="24" t="s">
        <v>631</v>
      </c>
      <c r="H13" s="695"/>
    </row>
    <row r="14" spans="1:8" ht="15.6">
      <c r="A14" s="6"/>
      <c r="B14" s="7"/>
      <c r="C14" s="7"/>
      <c r="D14" s="22"/>
      <c r="E14" s="6"/>
      <c r="F14" s="7"/>
      <c r="G14" s="7"/>
      <c r="H14" s="26"/>
    </row>
    <row r="15" spans="1:8" ht="12.95">
      <c r="A15" s="8" t="s">
        <v>82</v>
      </c>
      <c r="B15" s="5"/>
      <c r="C15" s="5"/>
      <c r="D15" s="23"/>
      <c r="E15" s="41" t="s">
        <v>82</v>
      </c>
      <c r="F15" s="25"/>
      <c r="G15" s="25"/>
      <c r="H15" s="27"/>
    </row>
    <row r="16" spans="1:8" ht="12.95">
      <c r="A16" s="10" t="s">
        <v>83</v>
      </c>
      <c r="B16" s="3">
        <v>12</v>
      </c>
      <c r="C16" s="3">
        <v>0</v>
      </c>
      <c r="D16" s="46">
        <v>12</v>
      </c>
      <c r="E16" s="10" t="s">
        <v>83</v>
      </c>
      <c r="F16" s="3">
        <v>12</v>
      </c>
      <c r="G16" s="3">
        <v>0</v>
      </c>
      <c r="H16" s="46">
        <v>12</v>
      </c>
    </row>
    <row r="17" spans="1:8" ht="12.95">
      <c r="A17" s="10" t="s">
        <v>84</v>
      </c>
      <c r="B17" s="3">
        <v>6</v>
      </c>
      <c r="C17" s="3">
        <v>6</v>
      </c>
      <c r="D17" s="46">
        <v>8</v>
      </c>
      <c r="E17" s="10" t="s">
        <v>84</v>
      </c>
      <c r="F17" s="3">
        <v>6</v>
      </c>
      <c r="G17" s="3">
        <v>6</v>
      </c>
      <c r="H17" s="46">
        <v>8</v>
      </c>
    </row>
    <row r="18" spans="1:8" ht="12.95">
      <c r="A18" s="10" t="s">
        <v>85</v>
      </c>
      <c r="B18" s="3">
        <v>6</v>
      </c>
      <c r="C18" s="3">
        <v>3</v>
      </c>
      <c r="D18" s="44">
        <v>7</v>
      </c>
      <c r="E18" s="10" t="s">
        <v>85</v>
      </c>
      <c r="F18" s="3">
        <v>9</v>
      </c>
      <c r="G18" s="3">
        <v>3</v>
      </c>
      <c r="H18" s="46">
        <v>8</v>
      </c>
    </row>
    <row r="19" spans="1:8" ht="12.95">
      <c r="A19" s="10" t="s">
        <v>86</v>
      </c>
      <c r="B19" s="3">
        <v>6</v>
      </c>
      <c r="C19" s="3">
        <v>6</v>
      </c>
      <c r="D19" s="44">
        <v>8</v>
      </c>
      <c r="E19" s="10" t="s">
        <v>86</v>
      </c>
      <c r="F19" s="3">
        <v>6</v>
      </c>
      <c r="G19" s="3">
        <v>6</v>
      </c>
      <c r="H19" s="44">
        <v>8</v>
      </c>
    </row>
    <row r="20" spans="1:8" ht="12.95">
      <c r="A20" s="43" t="s">
        <v>96</v>
      </c>
      <c r="B20" s="3">
        <v>53</v>
      </c>
      <c r="C20" s="3">
        <v>297</v>
      </c>
      <c r="D20" s="44">
        <v>72</v>
      </c>
      <c r="E20" s="43" t="s">
        <v>96</v>
      </c>
      <c r="F20" s="3">
        <f>'Comparative Summary-CpE (2018)'!J74</f>
        <v>68</v>
      </c>
      <c r="G20" s="3">
        <f>'Comparative Summary-CpE (2018)'!K74</f>
        <v>1626</v>
      </c>
      <c r="H20" s="46">
        <v>89</v>
      </c>
    </row>
    <row r="21" spans="1:8" ht="12.95">
      <c r="A21" s="43" t="s">
        <v>97</v>
      </c>
      <c r="B21" s="3">
        <v>9</v>
      </c>
      <c r="C21" s="3">
        <v>0</v>
      </c>
      <c r="D21" s="44">
        <v>9</v>
      </c>
      <c r="E21" s="43" t="s">
        <v>97</v>
      </c>
      <c r="F21" s="3">
        <v>9</v>
      </c>
      <c r="G21" s="3">
        <v>0</v>
      </c>
      <c r="H21" s="46">
        <v>9</v>
      </c>
    </row>
    <row r="22" spans="1:8" ht="12.95">
      <c r="A22" s="8" t="s">
        <v>98</v>
      </c>
      <c r="B22" s="29"/>
      <c r="C22" s="29"/>
      <c r="D22" s="45"/>
      <c r="E22" s="28" t="s">
        <v>98</v>
      </c>
      <c r="F22" s="31"/>
      <c r="G22" s="31"/>
      <c r="H22" s="47"/>
    </row>
    <row r="23" spans="1:8" ht="12.95">
      <c r="A23" s="10" t="s">
        <v>99</v>
      </c>
      <c r="B23" s="3">
        <v>24</v>
      </c>
      <c r="C23" s="3">
        <v>0</v>
      </c>
      <c r="D23" s="44">
        <v>24</v>
      </c>
      <c r="E23" s="10" t="s">
        <v>99</v>
      </c>
      <c r="F23" s="3">
        <v>27</v>
      </c>
      <c r="G23" s="3">
        <v>0</v>
      </c>
      <c r="H23" s="46">
        <v>24</v>
      </c>
    </row>
    <row r="24" spans="1:8" ht="12.95">
      <c r="A24" s="10" t="s">
        <v>101</v>
      </c>
      <c r="B24" s="3">
        <v>9</v>
      </c>
      <c r="C24" s="3">
        <v>0</v>
      </c>
      <c r="D24" s="44">
        <v>9</v>
      </c>
      <c r="E24" s="10" t="s">
        <v>101</v>
      </c>
      <c r="F24" s="3">
        <v>9</v>
      </c>
      <c r="G24" s="3">
        <v>0</v>
      </c>
      <c r="H24" s="46">
        <v>9</v>
      </c>
    </row>
    <row r="25" spans="1:8" ht="12.95">
      <c r="A25" s="10" t="s">
        <v>102</v>
      </c>
      <c r="B25" s="3">
        <v>0</v>
      </c>
      <c r="C25" s="3">
        <v>0</v>
      </c>
      <c r="D25" s="44">
        <v>0</v>
      </c>
      <c r="E25" s="10" t="s">
        <v>102</v>
      </c>
      <c r="F25" s="3">
        <v>0</v>
      </c>
      <c r="G25" s="3">
        <v>0</v>
      </c>
      <c r="H25" s="46">
        <v>0</v>
      </c>
    </row>
    <row r="26" spans="1:8" ht="12.95">
      <c r="A26" s="43" t="s">
        <v>672</v>
      </c>
      <c r="B26" s="3">
        <v>3</v>
      </c>
      <c r="C26" s="3">
        <v>0</v>
      </c>
      <c r="D26" s="44">
        <v>3</v>
      </c>
      <c r="E26" s="43" t="s">
        <v>103</v>
      </c>
      <c r="F26" s="3">
        <v>3</v>
      </c>
      <c r="G26" s="3">
        <v>0</v>
      </c>
      <c r="H26" s="46">
        <v>3</v>
      </c>
    </row>
    <row r="27" spans="1:8" ht="12.95">
      <c r="A27" s="43" t="s">
        <v>104</v>
      </c>
      <c r="B27" s="3">
        <v>8</v>
      </c>
      <c r="C27" s="3">
        <v>0</v>
      </c>
      <c r="D27" s="44">
        <v>8</v>
      </c>
      <c r="E27" s="43" t="s">
        <v>104</v>
      </c>
      <c r="F27" s="3">
        <v>8</v>
      </c>
      <c r="G27" s="3">
        <v>0</v>
      </c>
      <c r="H27" s="46">
        <v>8</v>
      </c>
    </row>
    <row r="28" spans="1:8" ht="12.95">
      <c r="A28" s="10" t="s">
        <v>105</v>
      </c>
      <c r="B28" s="3">
        <v>6</v>
      </c>
      <c r="C28" s="3">
        <v>0</v>
      </c>
      <c r="D28" s="44">
        <v>6</v>
      </c>
      <c r="E28" s="10" t="s">
        <v>105</v>
      </c>
      <c r="F28" s="3">
        <v>0</v>
      </c>
      <c r="G28" s="3">
        <v>0</v>
      </c>
      <c r="H28" s="46">
        <v>6</v>
      </c>
    </row>
    <row r="29" spans="1:8" ht="14.45" thickBot="1">
      <c r="A29" s="35" t="s">
        <v>662</v>
      </c>
      <c r="B29" s="37">
        <f>SUM(B16:B28)</f>
        <v>142</v>
      </c>
      <c r="C29" s="37">
        <f>SUM(C16:C28)</f>
        <v>312</v>
      </c>
      <c r="D29" s="37">
        <f>SUM(D16:D28)</f>
        <v>166</v>
      </c>
      <c r="E29" s="35" t="s">
        <v>662</v>
      </c>
      <c r="F29" s="39">
        <f>SUM(F16:F28)</f>
        <v>157</v>
      </c>
      <c r="G29" s="39">
        <f>SUM(G16:G28)</f>
        <v>1641</v>
      </c>
      <c r="H29" s="39">
        <f>SUM(H16:H28)</f>
        <v>184</v>
      </c>
    </row>
  </sheetData>
  <mergeCells count="11">
    <mergeCell ref="E12:E13"/>
    <mergeCell ref="F12:G12"/>
    <mergeCell ref="H12:H13"/>
    <mergeCell ref="A6:H6"/>
    <mergeCell ref="A7:H7"/>
    <mergeCell ref="A10:H10"/>
    <mergeCell ref="A11:D11"/>
    <mergeCell ref="E11:H11"/>
    <mergeCell ref="A12:A13"/>
    <mergeCell ref="B12:C12"/>
    <mergeCell ref="D12:D13"/>
  </mergeCells>
  <pageMargins left="0.46" right="0.47" top="0.54" bottom="0.98402777777777783" header="0.51180555555555562" footer="0.51180555555555562"/>
  <pageSetup scale="72" firstPageNumber="0" orientation="landscape" horizontalDpi="300" verticalDpi="300" r:id="rId1"/>
  <headerFooter alignWithMargins="0">
    <oddFooter>&amp;LProposed BS ECE Curriculum 2012&amp;C&amp;P&amp;R&amp;D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4EC43DC6C1E043AA65CE68D0B60A6A" ma:contentTypeVersion="7" ma:contentTypeDescription="Create a new document." ma:contentTypeScope="" ma:versionID="53608cb07581357be973b0d58f4b48f4">
  <xsd:schema xmlns:xsd="http://www.w3.org/2001/XMLSchema" xmlns:xs="http://www.w3.org/2001/XMLSchema" xmlns:p="http://schemas.microsoft.com/office/2006/metadata/properties" xmlns:ns2="e2722166-3766-4e70-a1e7-47fafdbd8d64" targetNamespace="http://schemas.microsoft.com/office/2006/metadata/properties" ma:root="true" ma:fieldsID="5e758a2cb7656b4d3d80b4ba68c252a8" ns2:_="">
    <xsd:import namespace="e2722166-3766-4e70-a1e7-47fafdbd8d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722166-3766-4e70-a1e7-47fafdbd8d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0F6CC9-456B-4AD4-9B59-B1804C20E568}"/>
</file>

<file path=customXml/itemProps2.xml><?xml version="1.0" encoding="utf-8"?>
<ds:datastoreItem xmlns:ds="http://schemas.openxmlformats.org/officeDocument/2006/customXml" ds:itemID="{61F544C8-3FA5-4A8F-87FB-C9914B6003E1}"/>
</file>

<file path=customXml/itemProps3.xml><?xml version="1.0" encoding="utf-8"?>
<ds:datastoreItem xmlns:ds="http://schemas.openxmlformats.org/officeDocument/2006/customXml" ds:itemID="{18437E87-DF00-4EE8-8E29-68016E010A3D}"/>
</file>

<file path=docProps/app.xml><?xml version="1.0" encoding="utf-8"?>
<Properties xmlns="http://schemas.openxmlformats.org/officeDocument/2006/extended-properties" xmlns:vt="http://schemas.openxmlformats.org/officeDocument/2006/docPropsVTypes">
  <Application>Microsoft Excel Online</Application>
  <Manager/>
  <Company>apc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stan</dc:creator>
  <cp:keywords/>
  <dc:description/>
  <cp:lastModifiedBy>Dean Alejandrino</cp:lastModifiedBy>
  <cp:revision/>
  <dcterms:created xsi:type="dcterms:W3CDTF">2010-02-13T05:28:49Z</dcterms:created>
  <dcterms:modified xsi:type="dcterms:W3CDTF">2026-08-14T02:07:06Z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0x010100F24EC43DC6C1E043AA65CE68D0B60A6A</vt:lpwstr>
  </property>
</Properties>
</file>